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f2d7df52504f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5c0460bebcb45f6"/>
    <x:sheet xmlns:r="http://schemas.openxmlformats.org/officeDocument/2006/relationships" name="Keyword Plan" sheetId="2" r:id="Re5a36708eccd46ab"/>
    <x:sheet xmlns:r="http://schemas.openxmlformats.org/officeDocument/2006/relationships" name="Competitor Gap" sheetId="3" r:id="R89aa065644b54dc9"/>
    <x:sheet xmlns:r="http://schemas.openxmlformats.org/officeDocument/2006/relationships" name="Extension Ideas" sheetId="4" r:id="R366527d72b704d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&quot;$&quot;#,##0.00"/>
    <x:numFmt numFmtId="202" formatCode="0%"/>
  </x:numFmts>
  <x:fonts count="20">
    <x:font>
      <x:sz val="11"/>
      <x:name val="Carlito"/>
    </x:font>
    <x:font>
      <x:b/>
      <x:sz val="20"/>
      <x:color rgb="FFFFFFFF"/>
      <x:name val="Carlito"/>
    </x:font>
    <x:font>
      <x:sz val="10"/>
      <x:color rgb="FF071B33"/>
      <x:name val="Carlito"/>
    </x:font>
    <x:font>
      <x:b/>
      <x:sz val="10"/>
      <x:color rgb="FF5B6573"/>
      <x:name val="Carlito"/>
    </x:font>
    <x:font>
      <x:b/>
      <x:sz val="22"/>
      <x:color rgb="FF0878F9"/>
      <x:name val="Carlito"/>
    </x:font>
    <x:font>
      <x:b/>
      <x:sz val="11"/>
      <x:color rgb="FFFFFFFF"/>
      <x:name val="Carlito"/>
    </x:font>
    <x:font>
      <x:b/>
      <x:sz val="11"/>
      <x:color rgb="FF0878F9"/>
      <x:name val="Carlito"/>
    </x:font>
    <x:font>
      <x:b/>
      <x:sz val="11"/>
      <x:color rgb="FF071B33"/>
      <x:name val="Carlito"/>
    </x:font>
    <x:font>
      <x:sz val="11"/>
      <x:color rgb="FF5B6573"/>
      <x:name val="Carlito"/>
    </x:font>
    <x:font>
      <x:b/>
      <x:sz val="18"/>
      <x:color rgb="FFFFFFFF"/>
      <x:name val="Carlito"/>
    </x:font>
    <x:font>
      <x:b/>
      <x:sz val="20"/>
      <x:color rgb="FFFFFFFF"/>
      <x:name val="Aptos"/>
    </x:font>
    <x:font>
      <x:sz val="10"/>
      <x:color rgb="FF071B33"/>
      <x:name val="Aptos"/>
    </x:font>
    <x:font>
      <x:sz val="11"/>
      <x:name val="Aptos"/>
    </x:font>
    <x:font>
      <x:b/>
      <x:sz val="10"/>
      <x:color rgb="FF5B6573"/>
      <x:name val="Aptos"/>
    </x:font>
    <x:font>
      <x:b/>
      <x:sz val="22"/>
      <x:color rgb="FF0878F9"/>
      <x:name val="Aptos"/>
    </x:font>
    <x:font>
      <x:b/>
      <x:sz val="11"/>
      <x:color rgb="FFFFFFFF"/>
      <x:name val="Aptos"/>
    </x:font>
    <x:font>
      <x:b/>
      <x:sz val="11"/>
      <x:color rgb="FF0878F9"/>
      <x:name val="Aptos"/>
    </x:font>
    <x:font>
      <x:b/>
      <x:sz val="11"/>
      <x:color rgb="FF071B33"/>
      <x:name val="Aptos"/>
    </x:font>
    <x:font>
      <x:sz val="11"/>
      <x:color rgb="FF5B6573"/>
      <x:name val="Aptos"/>
    </x:font>
    <x:font>
      <x:b/>
      <x:sz val="18"/>
      <x:color rgb="FF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071B33"/>
      </x:patternFill>
    </x:fill>
    <x:fill>
      <x:patternFill patternType="solid">
        <x:fgColor rgb="FFEAF3FF"/>
      </x:patternFill>
    </x:fill>
    <x:fill>
      <x:patternFill patternType="solid">
        <x:fgColor rgb="FFF3F5F7"/>
      </x:patternFill>
    </x:fill>
    <x:fill>
      <x:patternFill patternType="solid">
        <x:fgColor rgb="FFFFFFFF"/>
      </x:patternFill>
    </x:fill>
    <x:fill>
      <x:patternFill patternType="solid">
        <x:fgColor rgb="FF0878F9"/>
      </x:patternFill>
    </x:fill>
    <x:fill>
      <x:patternFill patternType="solid">
        <x:fgColor rgb="FFF10D12"/>
      </x:patternFill>
    </x:fill>
  </x:fills>
  <x:borders count="10">
    <x:border/>
    <x:border>
      <x:left style="thin">
        <x:color rgb="FFD7DEE7"/>
      </x:left>
      <x:top style="thin">
        <x:color rgb="FFD7DEE7"/>
      </x:top>
      <x:bottom style="thin">
        <x:color rgb="FFD7DEE7"/>
      </x:bottom>
    </x:border>
    <x:border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top style="thin">
        <x:color rgb="FFD7DEE7"/>
      </x:top>
    </x:border>
    <x:border>
      <x:right style="thin">
        <x:color rgb="FFD7DEE7"/>
      </x:right>
      <x:top style="thin">
        <x:color rgb="FFD7DEE7"/>
      </x:top>
    </x:border>
    <x:border>
      <x:left style="thin">
        <x:color rgb="FFD7DEE7"/>
      </x:left>
      <x:bottom style="thin">
        <x:color rgb="FFD7DEE7"/>
      </x:bottom>
    </x:border>
    <x:border>
      <x:right style="thin">
        <x:color rgb="FFD7DEE7"/>
      </x:right>
      <x:bottom style="thin">
        <x:color rgb="FFD7DEE7"/>
      </x:bottom>
    </x:border>
    <x:border>
      <x:bottom style="thin">
        <x:color rgb="FFD7DEE7"/>
      </x:bottom>
    </x:border>
    <x:border>
      <x:top style="thin">
        <x:color rgb="FFD7DEE7"/>
      </x:top>
      <x:bottom style="thin">
        <x:color rgb="FFD7DEE7"/>
      </x:bottom>
    </x:border>
    <x:border>
      <x:top style="thin">
        <x:color rgb="FFD7DEE7"/>
      </x:top>
    </x:border>
  </x:borders>
  <x:cellStyleXfs count="1">
    <x:xf numFmtId="0" fontId="0" fillId="0" borderId="0"/>
  </x:cellStyleXfs>
  <x:cellXfs count="1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0" fontId="4" fillId="5" borderId="5" xfId="0" applyNumberFormat="1" applyFont="1" applyFill="1" applyBorder="1"/>
    <x:xf numFmtId="200" fontId="4" fillId="5" borderId="6" xfId="0" applyNumberFormat="1" applyFont="1" applyFill="1" applyBorder="1"/>
    <x:xf numFmtId="200" fontId="4" fillId="5" borderId="3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6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horizontal="center" vertical="center"/>
    </x:xf>
    <x:xf numFmtId="0" fontId="7" fillId="0" borderId="7" xfId="0" applyNumberFormat="1" applyFont="1" applyFill="1" applyBorder="1" applyAlignment="1">
      <x:alignment vertical="center" wrapText="1"/>
    </x:xf>
    <x:xf numFmtId="0" fontId="8" fillId="0" borderId="7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horizontal="center" vertical="center"/>
    </x:xf>
    <x:xf numFmtId="0" fontId="7" fillId="0" borderId="8" xfId="0" applyNumberFormat="1" applyFont="1" applyFill="1" applyBorder="1" applyAlignment="1">
      <x:alignment vertical="center" wrapText="1"/>
    </x:xf>
    <x:xf numFmtId="0" fontId="8" fillId="0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horizontal="center" vertical="center"/>
    </x:xf>
    <x:xf numFmtId="0" fontId="7" fillId="0" borderId="9" xfId="0" applyNumberFormat="1" applyFont="1" applyFill="1" applyBorder="1" applyAlignment="1">
      <x:alignment vertical="center" wrapText="1"/>
    </x:xf>
    <x:xf numFmtId="0" fontId="8" fillId="0" borderId="9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0" borderId="7" xfId="0" applyNumberFormat="1" applyFont="1" applyFill="1" applyBorder="1"/>
    <x:xf numFmtId="202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1" fontId="0" fillId="0" borderId="9" xfId="0" applyNumberFormat="1" applyFont="1" applyFill="1" applyBorder="1"/>
    <x:xf numFmtId="202" fontId="0" fillId="0" borderId="9" xfId="0" applyNumberFormat="1" applyFont="1" applyFill="1" applyBorder="1"/>
    <x:xf numFmtId="0" fontId="7" fillId="0" borderId="7" xfId="0" applyNumberFormat="1" applyFont="1" applyFill="1" applyBorder="1"/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0" fontId="10" fillId="2" borderId="0" xfId="0" applyNumberFormat="1" applyFont="1" applyFill="1" applyBorder="1" applyAlignment="1">
      <x:alignment horizontal="left" vertical="center"/>
    </x:xf>
    <x:xf numFmtId="0" fontId="11" fillId="3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3" fillId="4" borderId="1" xfId="0" applyNumberFormat="1" applyFont="1" applyFill="1" applyBorder="1" applyAlignment="1">
      <x:alignment horizontal="center" vertical="center"/>
    </x:xf>
    <x:xf numFmtId="0" fontId="13" fillId="4" borderId="2" xfId="0" applyNumberFormat="1" applyFont="1" applyFill="1" applyBorder="1" applyAlignment="1">
      <x:alignment horizontal="center" vertical="center"/>
    </x:xf>
    <x:xf numFmtId="200" fontId="14" fillId="5" borderId="3" xfId="0" applyNumberFormat="1" applyFont="1" applyFill="1" applyBorder="1" applyAlignment="1">
      <x:alignment horizontal="center" vertical="center"/>
    </x:xf>
    <x:xf numFmtId="200" fontId="14" fillId="5" borderId="4" xfId="0" applyNumberFormat="1" applyFont="1" applyFill="1" applyBorder="1" applyAlignment="1">
      <x:alignment horizontal="center" vertical="center"/>
    </x:xf>
    <x:xf numFmtId="200" fontId="14" fillId="5" borderId="5" xfId="0" applyNumberFormat="1" applyFont="1" applyFill="1" applyBorder="1" applyAlignment="1">
      <x:alignment horizontal="center" vertical="center"/>
    </x:xf>
    <x:xf numFmtId="200" fontId="14" fillId="5" borderId="6" xfId="0" applyNumberFormat="1" applyFont="1" applyFill="1" applyBorder="1" applyAlignment="1">
      <x:alignment horizontal="center" vertical="center"/>
    </x:xf>
    <x:xf numFmtId="0" fontId="15" fillId="6" borderId="0" xfId="0" applyNumberFormat="1" applyFont="1" applyFill="1" applyBorder="1" applyAlignment="1">
      <x:alignment horizontal="center"/>
    </x:xf>
    <x:xf numFmtId="0" fontId="12" fillId="0" borderId="7" xfId="0" applyNumberFormat="1" applyFont="1" applyFill="1" applyBorder="1"/>
    <x:xf numFmtId="200" fontId="12" fillId="0" borderId="7" xfId="0" applyNumberFormat="1" applyFont="1" applyFill="1" applyBorder="1"/>
    <x:xf numFmtId="0" fontId="12" fillId="0" borderId="7" xfId="0" applyNumberFormat="1" applyFont="1" applyFill="1" applyBorder="1" applyAlignment="1">
      <x:alignment horizontal="center"/>
    </x:xf>
    <x:xf numFmtId="0" fontId="12" fillId="0" borderId="8" xfId="0" applyNumberFormat="1" applyFont="1" applyFill="1" applyBorder="1"/>
    <x:xf numFmtId="200" fontId="12" fillId="0" borderId="8" xfId="0" applyNumberFormat="1" applyFont="1" applyFill="1" applyBorder="1"/>
    <x:xf numFmtId="0" fontId="12" fillId="0" borderId="8" xfId="0" applyNumberFormat="1" applyFont="1" applyFill="1" applyBorder="1" applyAlignment="1">
      <x:alignment horizontal="center"/>
    </x:xf>
    <x:xf numFmtId="0" fontId="12" fillId="0" borderId="9" xfId="0" applyNumberFormat="1" applyFont="1" applyFill="1" applyBorder="1"/>
    <x:xf numFmtId="200" fontId="12" fillId="0" borderId="9" xfId="0" applyNumberFormat="1" applyFont="1" applyFill="1" applyBorder="1"/>
    <x:xf numFmtId="0" fontId="12" fillId="0" borderId="9" xfId="0" applyNumberFormat="1" applyFont="1" applyFill="1" applyBorder="1" applyAlignment="1">
      <x:alignment horizontal="center"/>
    </x:xf>
    <x:xf numFmtId="0" fontId="15" fillId="7" borderId="0" xfId="0" applyNumberFormat="1" applyFont="1" applyFill="1" applyBorder="1"/>
    <x:xf numFmtId="0" fontId="16" fillId="0" borderId="7" xfId="0" applyNumberFormat="1" applyFont="1" applyFill="1" applyBorder="1" applyAlignment="1">
      <x:alignment horizontal="center" vertical="center"/>
    </x:xf>
    <x:xf numFmtId="0" fontId="17" fillId="0" borderId="7" xfId="0" applyNumberFormat="1" applyFont="1" applyFill="1" applyBorder="1" applyAlignment="1">
      <x:alignment vertical="center" wrapText="1"/>
    </x:xf>
    <x:xf numFmtId="0" fontId="18" fillId="0" borderId="7" xfId="0" applyNumberFormat="1" applyFont="1" applyFill="1" applyBorder="1" applyAlignment="1">
      <x:alignment vertical="center" wrapText="1"/>
    </x:xf>
    <x:xf numFmtId="0" fontId="16" fillId="0" borderId="8" xfId="0" applyNumberFormat="1" applyFont="1" applyFill="1" applyBorder="1" applyAlignment="1">
      <x:alignment horizontal="center" vertical="center"/>
    </x:xf>
    <x:xf numFmtId="0" fontId="17" fillId="0" borderId="8" xfId="0" applyNumberFormat="1" applyFont="1" applyFill="1" applyBorder="1" applyAlignment="1">
      <x:alignment vertical="center" wrapText="1"/>
    </x:xf>
    <x:xf numFmtId="0" fontId="18" fillId="0" borderId="8" xfId="0" applyNumberFormat="1" applyFont="1" applyFill="1" applyBorder="1" applyAlignment="1">
      <x:alignment vertical="center" wrapText="1"/>
    </x:xf>
    <x:xf numFmtId="0" fontId="16" fillId="0" borderId="9" xfId="0" applyNumberFormat="1" applyFont="1" applyFill="1" applyBorder="1" applyAlignment="1">
      <x:alignment horizontal="center" vertical="center"/>
    </x:xf>
    <x:xf numFmtId="0" fontId="17" fillId="0" borderId="9" xfId="0" applyNumberFormat="1" applyFont="1" applyFill="1" applyBorder="1" applyAlignment="1">
      <x:alignment vertical="center" wrapText="1"/>
    </x:xf>
    <x:xf numFmtId="0" fontId="18" fillId="0" borderId="9" xfId="0" applyNumberFormat="1" applyFont="1" applyFill="1" applyBorder="1" applyAlignment="1">
      <x:alignment vertical="center" wrapText="1"/>
    </x:xf>
    <x:xf numFmtId="0" fontId="19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wrapText="1"/>
    </x:xf>
    <x:xf numFmtId="0" fontId="15" fillId="6" borderId="0" xfId="0" applyNumberFormat="1" applyFont="1" applyFill="1" applyBorder="1" applyAlignment="1">
      <x:alignment horizontal="center" wrapText="1"/>
    </x:xf>
    <x:xf numFmtId="0" fontId="17" fillId="0" borderId="7" xfId="0" applyNumberFormat="1" applyFont="1" applyFill="1" applyBorder="1"/>
    <x:xf numFmtId="201" fontId="12" fillId="0" borderId="7" xfId="0" applyNumberFormat="1" applyFont="1" applyFill="1" applyBorder="1"/>
    <x:xf numFmtId="202" fontId="12" fillId="0" borderId="7" xfId="0" applyNumberFormat="1" applyFont="1" applyFill="1" applyBorder="1"/>
    <x:xf numFmtId="0" fontId="17" fillId="0" borderId="8" xfId="0" applyNumberFormat="1" applyFont="1" applyFill="1" applyBorder="1"/>
    <x:xf numFmtId="201" fontId="12" fillId="0" borderId="8" xfId="0" applyNumberFormat="1" applyFont="1" applyFill="1" applyBorder="1"/>
    <x:xf numFmtId="202" fontId="12" fillId="0" borderId="8" xfId="0" applyNumberFormat="1" applyFont="1" applyFill="1" applyBorder="1"/>
    <x:xf numFmtId="0" fontId="17" fillId="0" borderId="9" xfId="0" applyNumberFormat="1" applyFont="1" applyFill="1" applyBorder="1"/>
    <x:xf numFmtId="201" fontId="12" fillId="0" borderId="9" xfId="0" applyNumberFormat="1" applyFont="1" applyFill="1" applyBorder="1"/>
    <x:xf numFmtId="202" fontId="12" fillId="0" borderId="9" xfId="0" applyNumberFormat="1" applyFont="1" applyFill="1" applyBorder="1"/>
  </x:cellXfs>
  <x:cellStyles count="1">
    <x:cellStyle name="Normal" xfId="0"/>
  </x:cellStyles>
  <x:dxfs count="7">
    <x:dxf>
      <x:font>
        <x:b/>
        <x:color rgb="FF12643A"/>
      </x:font>
      <x:fill>
        <x:patternFill patternType="solid">
          <x:bgColor rgb="FFDDF4E7"/>
        </x:patternFill>
      </x:fill>
    </x:dxf>
    <x:dxf>
      <x:font>
        <x:b/>
        <x:color rgb="FF0878F9"/>
      </x:font>
      <x:fill>
        <x:patternFill patternType="solid">
          <x:bgColor rgb="FFEAF3FF"/>
        </x:patternFill>
      </x:fill>
    </x:dxf>
    <x:dxf>
      <x:font>
        <x:color rgb="FF5B6573"/>
      </x:font>
      <x:fill>
        <x:patternFill patternType="solid">
          <x:bgColor rgb="FFF3F5F7"/>
        </x:patternFill>
      </x:fill>
    </x:dxf>
    <x:dxf>
      <x:font>
        <x:color rgb="FF12643A"/>
      </x:font>
      <x:fill>
        <x:patternFill patternType="solid">
          <x:bgColor rgb="FFDDF4E7"/>
        </x:patternFill>
      </x:fill>
    </x:dxf>
    <x:dxf>
      <x:font>
        <x:color rgb="FFA61B1B"/>
      </x:font>
      <x:fill>
        <x:patternFill patternType="solid">
          <x:bgColor rgb="FFFDE2E2"/>
        </x:patternFill>
      </x:fill>
    </x:dxf>
    <x:dxf>
      <x:font>
        <x:b/>
        <x:color rgb="FF12643A"/>
      </x:font>
      <x:fill>
        <x:patternFill patternType="solid">
          <x:bgColor rgb="FFDDF4E7"/>
        </x:patternFill>
      </x:fill>
    </x:dxf>
    <x:dxf>
      <x:font>
        <x:color rgb="FF7A5200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016850bbf84dad" /><Relationship Type="http://schemas.openxmlformats.org/officeDocument/2006/relationships/theme" Target="/xl/theme/theme1.xml" Id="R8e385284c96c42de" /><Relationship Type="http://schemas.openxmlformats.org/officeDocument/2006/relationships/sharedStrings" Target="/xl/sharedStrings.xml" Id="R0be0939fc21b49a0" /><Relationship Type="http://schemas.openxmlformats.org/officeDocument/2006/relationships/worksheet" Target="/xl/worksheets/sheet1.xml" Id="R65c0460bebcb45f6" /><Relationship Type="http://schemas.openxmlformats.org/officeDocument/2006/relationships/worksheet" Target="/xl/worksheets/sheet2.xml" Id="Re5a36708eccd46ab" /><Relationship Type="http://schemas.openxmlformats.org/officeDocument/2006/relationships/worksheet" Target="/xl/worksheets/sheet3.xml" Id="R89aa065644b54dc9" /><Relationship Type="http://schemas.openxmlformats.org/officeDocument/2006/relationships/worksheet" Target="/xl/worksheets/sheet4.xml" Id="R366527d72b704d7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853c603c0054da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Highest validated US monthly search demand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Monthly volume</c:v>
          </c:tx>
          <c:cat>
            <c:strRef>
              <c:f>'Summary'!$A$10:$A$21</c:f>
              <c:strCache>
                <c:ptCount val="0"/>
              </c:strCache>
            </c:strRef>
          </c:cat>
          <c:val>
            <c:numRef>
              <c:f>'Summary'!$B$10:$B$21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11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53c603c0054da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alidatedKeywordTable" displayName="ValidatedKeywordTable" ref="A4:L93" headerRowCount="1" totalsRowCount="0" totalsRowShown="0">
  <x:tableColumns count="12">
    <x:tableColumn id="1" name="Keyword"/>
    <x:tableColumn id="2" name="US Volume"/>
    <x:tableColumn id="3" name="CPC (USD)"/>
    <x:tableColumn id="4" name="Paid Competition"/>
    <x:tableColumn id="5" name="Trend %"/>
    <x:tableColumn id="6" name="Category"/>
    <x:tableColumn id="7" name="Intent"/>
    <x:tableColumn id="8" name="Priority"/>
    <x:tableColumn id="9" name="Recommended Target"/>
    <x:tableColumn id="10" name="Source URL"/>
    <x:tableColumn id="11" name="Notes"/>
    <x:tableColumn id="12" name="Volume Ran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etitorGapTable" displayName="CompetitorGapTable" ref="A4:H188" headerRowCount="1" totalsRowCount="0" totalsRowShown="0">
  <x:tableColumns count="8">
    <x:tableColumn id="1" name="Keyword"/>
    <x:tableColumn id="2" name="Competitor Traffic/mo"/>
    <x:tableColumn id="3" name="Competitor Position"/>
    <x:tableColumn id="4" name="Brand"/>
    <x:tableColumn id="5" name="Intent"/>
    <x:tableColumn id="6" name="Relevance"/>
    <x:tableColumn id="7" name="Recommended Action"/>
    <x:tableColumn id="8" name="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tensionIdeasTable" displayName="ExtensionIdeasTable" ref="A4:E21" headerRowCount="1" totalsRowCount="0" totalsRowShown="0">
  <x:tableColumns count="5">
    <x:tableColumn id="1" name="Idea Type"/>
    <x:tableColumn id="2" name="Keyword"/>
    <x:tableColumn id="3" name="KE Volume"/>
    <x:tableColumn id="4" name="Source URL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dc68b53d65749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53094e14d042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fe695dc78b4a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8131707a294b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7" hidden="0" customWidth="1"/>
    <x:col min="3" max="3" width="5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83" t="str">
        <x:v>Diesel Part Source - KE Keyword Research</x:v>
      </x:c>
      <x:c r="B1" s="83"/>
      <x:c r="C1" s="83"/>
      <x:c r="D1" s="83"/>
      <x:c r="E1" s="83"/>
      <x:c r="F1" s="83"/>
      <x:c r="G1" s="83"/>
      <x:c r="H1" s="83"/>
    </x:row>
    <x:row r="2" ht="30" customHeight="1">
      <x:c r="A2" s="83"/>
      <x:c r="B2" s="83"/>
      <x:c r="C2" s="83"/>
      <x:c r="D2" s="83"/>
      <x:c r="E2" s="83"/>
      <x:c r="F2" s="83"/>
      <x:c r="G2" s="83"/>
      <x:c r="H2" s="83"/>
    </x:row>
    <x:row r="3" ht="32" customHeight="1">
      <x:c r="A3" s="84" t="str">
        <x:v>Market: United States | Generated: 2026-07-26 | Sources: Keywords Everywhere Search Volume Checker, Chrome extension, and Keyword Gap Analysis</x:v>
      </x:c>
      <x:c r="B3" s="84"/>
      <x:c r="C3" s="84"/>
      <x:c r="D3" s="84"/>
      <x:c r="E3" s="84"/>
      <x:c r="F3" s="84"/>
      <x:c r="G3" s="84"/>
      <x:c r="H3" s="84"/>
    </x:row>
    <x:row r="4" ht="20" customHeight="1">
      <x:c r="A4" s="85"/>
      <x:c r="B4" s="85"/>
      <x:c r="C4" s="85"/>
      <x:c r="D4" s="85"/>
      <x:c r="E4" s="85"/>
      <x:c r="F4" s="85"/>
      <x:c r="G4" s="85"/>
      <x:c r="H4" s="85"/>
    </x:row>
    <x:row r="5" ht="20" customHeight="1">
      <x:c r="A5" s="86" t="str">
        <x:v>Validated keywords</x:v>
      </x:c>
      <x:c r="B5" s="87"/>
      <x:c r="C5" s="86" t="str">
        <x:v>Keywords with volume</x:v>
      </x:c>
      <x:c r="D5" s="87"/>
      <x:c r="E5" s="86" t="str">
        <x:v>P1 opportunities</x:v>
      </x:c>
      <x:c r="F5" s="87"/>
      <x:c r="G5" s="86" t="str">
        <x:v>Competitor gaps</x:v>
      </x:c>
      <x:c r="H5" s="87"/>
    </x:row>
    <x:row r="6" ht="20" customHeight="1">
      <x:c r="A6" s="88" t="n">
        <x:f>COUNTA('Keyword Plan'!$A$5:$A$93)</x:f>
        <x:v>89</x:v>
      </x:c>
      <x:c r="B6" s="89"/>
      <x:c r="C6" s="88" t="n">
        <x:f>COUNTIF('Keyword Plan'!$B$5:$B$93,"&gt;0")</x:f>
        <x:v>38</x:v>
      </x:c>
      <x:c r="D6" s="89"/>
      <x:c r="E6" s="88" t="n">
        <x:f>COUNTIF('Keyword Plan'!$H$5:$H$93,"P1")</x:f>
        <x:v>3</x:v>
      </x:c>
      <x:c r="F6" s="89"/>
      <x:c r="G6" s="88" t="n">
        <x:f>COUNTA('Competitor Gap'!$A$5:$A$188)</x:f>
        <x:v>184</x:v>
      </x:c>
      <x:c r="H6" s="89"/>
    </x:row>
    <x:row r="7" ht="20" customHeight="1">
      <x:c r="A7" s="90"/>
      <x:c r="B7" s="91"/>
      <x:c r="C7" s="90"/>
      <x:c r="D7" s="91"/>
      <x:c r="E7" s="90"/>
      <x:c r="F7" s="91"/>
      <x:c r="G7" s="90"/>
      <x:c r="H7" s="91"/>
    </x:row>
    <x:row r="8" ht="20" customHeight="1">
      <x:c r="A8" s="85"/>
      <x:c r="B8" s="85"/>
      <x:c r="C8" s="85"/>
      <x:c r="D8" s="85"/>
      <x:c r="E8" s="85"/>
      <x:c r="F8" s="85"/>
      <x:c r="G8" s="85"/>
      <x:c r="H8" s="85"/>
    </x:row>
    <x:row r="9" ht="20" customHeight="1">
      <x:c r="A9" s="92" t="str">
        <x:v>Top US keywords</x:v>
      </x:c>
      <x:c r="B9" s="92" t="str">
        <x:v>Monthly volume</x:v>
      </x:c>
      <x:c r="C9" s="92" t="str">
        <x:v>Priority</x:v>
      </x:c>
      <x:c r="D9" s="85"/>
      <x:c r="E9" s="85"/>
      <x:c r="F9" s="85"/>
      <x:c r="G9" s="85"/>
      <x:c r="H9" s="85"/>
    </x:row>
    <x:row r="10" ht="20" customHeight="1">
      <x:c r="A10" s="93" t="str">
        <x:f>INDEX('Keyword Plan'!$A$5:$A$93,MATCH(ROW()-9,'Keyword Plan'!$L$5:$L$93,0))</x:f>
        <x:v>mtu diesel engines</x:v>
      </x:c>
      <x:c r="B10" s="94" t="n">
        <x:f>INDEX('Keyword Plan'!$B$5:$B$93,MATCH(ROW()-9,'Keyword Plan'!$L$5:$L$93,0))</x:f>
        <x:v>320</x:v>
      </x:c>
      <x:c r="C10" s="95" t="str">
        <x:f>INDEX('Keyword Plan'!$H$5:$H$93,MATCH(ROW()-9,'Keyword Plan'!$L$5:$L$93,0))</x:f>
        <x:v>P2</x:v>
      </x:c>
      <x:c r="D10" s="85"/>
      <x:c r="E10" s="85"/>
      <x:c r="F10" s="85"/>
      <x:c r="G10" s="85"/>
      <x:c r="H10" s="85"/>
    </x:row>
    <x:row r="11" ht="20" customHeight="1">
      <x:c r="A11" s="96" t="str">
        <x:f>INDEX('Keyword Plan'!$A$5:$A$93,MATCH(ROW()-9,'Keyword Plan'!$L$5:$L$93,0))</x:f>
        <x:v>mtu marine engines</x:v>
      </x:c>
      <x:c r="B11" s="97" t="n">
        <x:f>INDEX('Keyword Plan'!$B$5:$B$93,MATCH(ROW()-9,'Keyword Plan'!$L$5:$L$93,0))</x:f>
        <x:v>260</x:v>
      </x:c>
      <x:c r="C11" s="98" t="str">
        <x:f>INDEX('Keyword Plan'!$H$5:$H$93,MATCH(ROW()-9,'Keyword Plan'!$L$5:$L$93,0))</x:f>
        <x:v>P2</x:v>
      </x:c>
      <x:c r="D11" s="85"/>
      <x:c r="E11" s="85"/>
      <x:c r="F11" s="85"/>
      <x:c r="G11" s="85"/>
      <x:c r="H11" s="85"/>
    </x:row>
    <x:row r="12" ht="20" customHeight="1">
      <x:c r="A12" s="96" t="str">
        <x:f>INDEX('Keyword Plan'!$A$5:$A$93,MATCH(ROW()-9,'Keyword Plan'!$L$5:$L$93,0))</x:f>
        <x:v>mtu diesel marine engines</x:v>
      </x:c>
      <x:c r="B12" s="97" t="n">
        <x:f>INDEX('Keyword Plan'!$B$5:$B$93,MATCH(ROW()-9,'Keyword Plan'!$L$5:$L$93,0))</x:f>
        <x:v>260</x:v>
      </x:c>
      <x:c r="C12" s="98" t="str">
        <x:f>INDEX('Keyword Plan'!$H$5:$H$93,MATCH(ROW()-9,'Keyword Plan'!$L$5:$L$93,0))</x:f>
        <x:v>P2</x:v>
      </x:c>
      <x:c r="D12" s="85"/>
      <x:c r="E12" s="85"/>
      <x:c r="F12" s="85"/>
      <x:c r="G12" s="85"/>
      <x:c r="H12" s="85"/>
    </x:row>
    <x:row r="13" ht="20" customHeight="1">
      <x:c r="A13" s="96" t="str">
        <x:f>INDEX('Keyword Plan'!$A$5:$A$93,MATCH(ROW()-9,'Keyword Plan'!$L$5:$L$93,0))</x:f>
        <x:v>diesel engine parts supplier</x:v>
      </x:c>
      <x:c r="B13" s="97" t="n">
        <x:f>INDEX('Keyword Plan'!$B$5:$B$93,MATCH(ROW()-9,'Keyword Plan'!$L$5:$L$93,0))</x:f>
        <x:v>140</x:v>
      </x:c>
      <x:c r="C13" s="98" t="str">
        <x:f>INDEX('Keyword Plan'!$H$5:$H$93,MATCH(ROW()-9,'Keyword Plan'!$L$5:$L$93,0))</x:f>
        <x:v>P1</x:v>
      </x:c>
      <x:c r="D13" s="85"/>
      <x:c r="E13" s="85"/>
      <x:c r="F13" s="85"/>
      <x:c r="G13" s="85"/>
      <x:c r="H13" s="85"/>
    </x:row>
    <x:row r="14" ht="20" customHeight="1">
      <x:c r="A14" s="96" t="str">
        <x:f>INDEX('Keyword Plan'!$A$5:$A$93,MATCH(ROW()-9,'Keyword Plan'!$L$5:$L$93,0))</x:f>
        <x:v>mtu 16v 2000</x:v>
      </x:c>
      <x:c r="B14" s="97" t="n">
        <x:f>INDEX('Keyword Plan'!$B$5:$B$93,MATCH(ROW()-9,'Keyword Plan'!$L$5:$L$93,0))</x:f>
        <x:v>110</x:v>
      </x:c>
      <x:c r="C14" s="98" t="str">
        <x:f>INDEX('Keyword Plan'!$H$5:$H$93,MATCH(ROW()-9,'Keyword Plan'!$L$5:$L$93,0))</x:f>
        <x:v>P2</x:v>
      </x:c>
      <x:c r="D14" s="85"/>
      <x:c r="E14" s="85"/>
      <x:c r="F14" s="85"/>
      <x:c r="G14" s="85"/>
      <x:c r="H14" s="85"/>
    </x:row>
    <x:row r="15" ht="20" customHeight="1">
      <x:c r="A15" s="96" t="str">
        <x:f>INDEX('Keyword Plan'!$A$5:$A$93,MATCH(ROW()-9,'Keyword Plan'!$L$5:$L$93,0))</x:f>
        <x:v>mtu 16v 4000</x:v>
      </x:c>
      <x:c r="B15" s="97" t="n">
        <x:f>INDEX('Keyword Plan'!$B$5:$B$93,MATCH(ROW()-9,'Keyword Plan'!$L$5:$L$93,0))</x:f>
        <x:v>90</x:v>
      </x:c>
      <x:c r="C15" s="98" t="str">
        <x:f>INDEX('Keyword Plan'!$H$5:$H$93,MATCH(ROW()-9,'Keyword Plan'!$L$5:$L$93,0))</x:f>
        <x:v>P2</x:v>
      </x:c>
      <x:c r="D15" s="85"/>
      <x:c r="E15" s="85"/>
      <x:c r="F15" s="85"/>
      <x:c r="G15" s="85"/>
      <x:c r="H15" s="85"/>
    </x:row>
    <x:row r="16" ht="20" customHeight="1">
      <x:c r="A16" s="96" t="str">
        <x:f>INDEX('Keyword Plan'!$A$5:$A$93,MATCH(ROW()-9,'Keyword Plan'!$L$5:$L$93,0))</x:f>
        <x:v>mtu 4000</x:v>
      </x:c>
      <x:c r="B16" s="97" t="n">
        <x:f>INDEX('Keyword Plan'!$B$5:$B$93,MATCH(ROW()-9,'Keyword Plan'!$L$5:$L$93,0))</x:f>
        <x:v>70</x:v>
      </x:c>
      <x:c r="C16" s="98" t="str">
        <x:f>INDEX('Keyword Plan'!$H$5:$H$93,MATCH(ROW()-9,'Keyword Plan'!$L$5:$L$93,0))</x:f>
        <x:v>P2</x:v>
      </x:c>
      <x:c r="D16" s="85"/>
      <x:c r="E16" s="85"/>
      <x:c r="F16" s="85"/>
      <x:c r="G16" s="85"/>
      <x:c r="H16" s="85"/>
    </x:row>
    <x:row r="17" ht="20" customHeight="1">
      <x:c r="A17" s="96" t="str">
        <x:f>INDEX('Keyword Plan'!$A$5:$A$93,MATCH(ROW()-9,'Keyword Plan'!$L$5:$L$93,0))</x:f>
        <x:v>mtu engine parts</x:v>
      </x:c>
      <x:c r="B17" s="97" t="n">
        <x:f>INDEX('Keyword Plan'!$B$5:$B$93,MATCH(ROW()-9,'Keyword Plan'!$L$5:$L$93,0))</x:f>
        <x:v>50</x:v>
      </x:c>
      <x:c r="C17" s="98" t="str">
        <x:f>INDEX('Keyword Plan'!$H$5:$H$93,MATCH(ROW()-9,'Keyword Plan'!$L$5:$L$93,0))</x:f>
        <x:v>P1</x:v>
      </x:c>
      <x:c r="D17" s="85"/>
      <x:c r="E17" s="85"/>
      <x:c r="F17" s="85"/>
      <x:c r="G17" s="85"/>
      <x:c r="H17" s="85"/>
    </x:row>
    <x:row r="18" ht="20" customHeight="1">
      <x:c r="A18" s="96" t="str">
        <x:f>INDEX('Keyword Plan'!$A$5:$A$93,MATCH(ROW()-9,'Keyword Plan'!$L$5:$L$93,0))</x:f>
        <x:v>mtu 12v 4000</x:v>
      </x:c>
      <x:c r="B18" s="97" t="n">
        <x:f>INDEX('Keyword Plan'!$B$5:$B$93,MATCH(ROW()-9,'Keyword Plan'!$L$5:$L$93,0))</x:f>
        <x:v>50</x:v>
      </x:c>
      <x:c r="C18" s="98" t="str">
        <x:f>INDEX('Keyword Plan'!$H$5:$H$93,MATCH(ROW()-9,'Keyword Plan'!$L$5:$L$93,0))</x:f>
        <x:v>P2</x:v>
      </x:c>
      <x:c r="D18" s="85"/>
      <x:c r="E18" s="85"/>
      <x:c r="F18" s="85"/>
      <x:c r="G18" s="85"/>
      <x:c r="H18" s="85"/>
    </x:row>
    <x:row r="19" ht="20" customHeight="1">
      <x:c r="A19" s="96" t="str">
        <x:f>INDEX('Keyword Plan'!$A$5:$A$93,MATCH(ROW()-9,'Keyword Plan'!$L$5:$L$93,0))</x:f>
        <x:v>mtu yacht engines</x:v>
      </x:c>
      <x:c r="B19" s="97" t="n">
        <x:f>INDEX('Keyword Plan'!$B$5:$B$93,MATCH(ROW()-9,'Keyword Plan'!$L$5:$L$93,0))</x:f>
        <x:v>50</x:v>
      </x:c>
      <x:c r="C19" s="98" t="str">
        <x:f>INDEX('Keyword Plan'!$H$5:$H$93,MATCH(ROW()-9,'Keyword Plan'!$L$5:$L$93,0))</x:f>
        <x:v>P2</x:v>
      </x:c>
      <x:c r="D19" s="85"/>
      <x:c r="E19" s="85"/>
      <x:c r="F19" s="85"/>
      <x:c r="G19" s="85"/>
      <x:c r="H19" s="85"/>
    </x:row>
    <x:row r="20" ht="20" customHeight="1">
      <x:c r="A20" s="96" t="str">
        <x:f>INDEX('Keyword Plan'!$A$5:$A$93,MATCH(ROW()-9,'Keyword Plan'!$L$5:$L$93,0))</x:f>
        <x:v>mtu 8000</x:v>
      </x:c>
      <x:c r="B20" s="97" t="n">
        <x:f>INDEX('Keyword Plan'!$B$5:$B$93,MATCH(ROW()-9,'Keyword Plan'!$L$5:$L$93,0))</x:f>
        <x:v>50</x:v>
      </x:c>
      <x:c r="C20" s="98" t="str">
        <x:f>INDEX('Keyword Plan'!$H$5:$H$93,MATCH(ROW()-9,'Keyword Plan'!$L$5:$L$93,0))</x:f>
        <x:v>P2</x:v>
      </x:c>
      <x:c r="D20" s="85"/>
      <x:c r="E20" s="85"/>
      <x:c r="F20" s="85"/>
      <x:c r="G20" s="85"/>
      <x:c r="H20" s="85"/>
    </x:row>
    <x:row r="21" ht="20" customHeight="1">
      <x:c r="A21" s="99" t="str">
        <x:f>INDEX('Keyword Plan'!$A$5:$A$93,MATCH(ROW()-9,'Keyword Plan'!$L$5:$L$93,0))</x:f>
        <x:v>mtu spare parts</x:v>
      </x:c>
      <x:c r="B21" s="100" t="n">
        <x:f>INDEX('Keyword Plan'!$B$5:$B$93,MATCH(ROW()-9,'Keyword Plan'!$L$5:$L$93,0))</x:f>
        <x:v>30</x:v>
      </x:c>
      <x:c r="C21" s="101" t="str">
        <x:f>INDEX('Keyword Plan'!$H$5:$H$93,MATCH(ROW()-9,'Keyword Plan'!$L$5:$L$93,0))</x:f>
        <x:v>P1</x:v>
      </x:c>
      <x:c r="D21" s="85"/>
      <x:c r="E21" s="85"/>
      <x:c r="F21" s="85"/>
      <x:c r="G21" s="85"/>
      <x:c r="H21" s="85"/>
    </x:row>
    <x:row r="22" ht="20" customHeight="1">
      <x:c r="A22" s="85"/>
      <x:c r="B22" s="85"/>
      <x:c r="C22" s="85"/>
      <x:c r="D22" s="85"/>
      <x:c r="E22" s="85"/>
      <x:c r="F22" s="85"/>
      <x:c r="G22" s="85"/>
      <x:c r="H22" s="85"/>
    </x:row>
    <x:row r="23" ht="20" customHeight="1">
      <x:c r="A23" s="85"/>
      <x:c r="B23" s="85"/>
      <x:c r="C23" s="85"/>
      <x:c r="D23" s="85"/>
      <x:c r="E23" s="85"/>
      <x:c r="F23" s="85"/>
      <x:c r="G23" s="85"/>
      <x:c r="H23" s="85"/>
    </x:row>
    <x:row r="24" ht="20" customHeight="1">
      <x:c r="A24" s="102" t="str">
        <x:v>Recommended execution order</x:v>
      </x:c>
      <x:c r="B24" s="102"/>
      <x:c r="C24" s="102"/>
      <x:c r="D24" s="102"/>
      <x:c r="E24" s="102"/>
      <x:c r="F24" s="102"/>
      <x:c r="G24" s="102"/>
      <x:c r="H24" s="102"/>
    </x:row>
    <x:row r="25" ht="44" customHeight="1">
      <x:c r="A25" s="103" t="str">
        <x:v>1</x:v>
      </x:c>
      <x:c r="B25" s="104" t="str">
        <x:v>Protect the MTU commercial hub</x:v>
      </x:c>
      <x:c r="C25" s="104"/>
      <x:c r="D25" s="105" t="str">
        <x:v>Target mtu engine parts, mtu spare parts, supplier, distributor, online and catalog variants on the MTU hub and Catalog page.</x:v>
      </x:c>
      <x:c r="E25" s="105"/>
      <x:c r="F25" s="105"/>
      <x:c r="G25" s="105"/>
      <x:c r="H25" s="105"/>
    </x:row>
    <x:row r="26" ht="44" customHeight="1">
      <x:c r="A26" s="106" t="str">
        <x:v>2</x:v>
      </x:c>
      <x:c r="B26" s="107" t="str">
        <x:v>Strengthen model/series landing pages</x:v>
      </x:c>
      <x:c r="C26" s="107"/>
      <x:c r="D26" s="108" t="str">
        <x:v>Prioritize 16V2000, 16V4000, 12V4000, Series 2000, Series 4000 and Series 396 with real fitment and internal links.</x:v>
      </x:c>
      <x:c r="E26" s="108"/>
      <x:c r="F26" s="108"/>
      <x:c r="G26" s="108"/>
      <x:c r="H26" s="108"/>
    </x:row>
    <x:row r="27" ht="44" customHeight="1">
      <x:c r="A27" s="106" t="str">
        <x:v>3</x:v>
      </x:c>
      <x:c r="B27" s="107" t="str">
        <x:v>Build component clusters</x:v>
      </x:c>
      <x:c r="C27" s="107"/>
      <x:c r="D27" s="108" t="str">
        <x:v>Create or strengthen injector, fuel pump, turbocharger, filter, piston, starter, alternator and seal category paths.</x:v>
      </x:c>
      <x:c r="E27" s="108"/>
      <x:c r="F27" s="108"/>
      <x:c r="G27" s="108"/>
      <x:c r="H27" s="108"/>
    </x:row>
    <x:row r="28" ht="44" customHeight="1">
      <x:c r="A28" s="109" t="str">
        <x:v>4</x:v>
      </x:c>
      <x:c r="B28" s="110" t="str">
        <x:v>Do not delete zero-volume part numbers</x:v>
      </x:c>
      <x:c r="C28" s="110"/>
      <x:c r="D28" s="111" t="str">
        <x:v>Use GSC impressions, customer RFQs, superseded numbers and fitment data to decide exact part-number pages.</x:v>
      </x:c>
      <x:c r="E28" s="111"/>
      <x:c r="F28" s="111"/>
      <x:c r="G28" s="111"/>
      <x:c r="H28" s="111"/>
    </x:row>
  </x:sheetData>
  <x:mergeCells>
    <x:mergeCell ref="A1:H2"/>
    <x:mergeCell ref="A3:H3"/>
    <x:mergeCell ref="A5:B5"/>
    <x:mergeCell ref="C5:D5"/>
    <x:mergeCell ref="E5:F5"/>
    <x:mergeCell ref="G5:H5"/>
    <x:mergeCell ref="A6:B7"/>
    <x:mergeCell ref="C6:D7"/>
    <x:mergeCell ref="E6:F7"/>
    <x:mergeCell ref="G6:H7"/>
    <x:mergeCell ref="A24:H24"/>
    <x:mergeCell ref="B25:C25"/>
    <x:mergeCell ref="D25:H25"/>
    <x:mergeCell ref="B26:C26"/>
    <x:mergeCell ref="D26:H26"/>
    <x:mergeCell ref="B27:C27"/>
    <x:mergeCell ref="D27:H27"/>
    <x:mergeCell ref="B28:C28"/>
    <x:mergeCell ref="D28:H28"/>
  </x:mergeCells>
  <x:pageMargins left="0.7" right="0.7" top="0.75" bottom="0.75" header="0.3" footer="0.3"/>
  <x:drawing xmlns:r="http://schemas.openxmlformats.org/officeDocument/2006/relationships" r:id="Radc68b53d65749e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3" hidden="0" customWidth="1"/>
    <x:col min="3" max="3" width="13" hidden="0" customWidth="1"/>
    <x:col min="4" max="4" width="17" hidden="0" customWidth="1"/>
    <x:col min="5" max="5" width="12" hidden="0" customWidth="1"/>
    <x:col min="6" max="6" width="18" hidden="0" customWidth="1"/>
    <x:col min="7" max="7" width="18" hidden="0" customWidth="1"/>
    <x:col min="8" max="8" width="11" hidden="0" customWidth="1"/>
    <x:col min="9" max="9" width="34" hidden="0" customWidth="1"/>
    <x:col min="10" max="10" width="46" hidden="0" customWidth="1"/>
    <x:col min="11" max="11" width="49" hidden="0" customWidth="1"/>
    <x:col min="12" max="12" width="12" hidden="0" customWidth="1"/>
  </x:cols>
  <x:sheetData>
    <x:row r="1">
      <x:c r="A1" s="112" t="str">
        <x:v>Validated Keyword Plan - United States</x:v>
      </x:c>
      <x:c r="B1" s="112"/>
      <x:c r="C1" s="112"/>
      <x:c r="D1" s="112"/>
      <x:c r="E1" s="112"/>
      <x:c r="F1" s="112"/>
      <x:c r="G1" s="112"/>
      <x:c r="H1" s="112"/>
      <x:c r="I1" s="112"/>
      <x:c r="J1" s="112"/>
      <x:c r="K1" s="112"/>
      <x:c r="L1" s="112"/>
    </x:row>
    <x:row r="2">
      <x:c r="A2" s="112"/>
      <x:c r="B2" s="112"/>
      <x:c r="C2" s="112"/>
      <x:c r="D2" s="112"/>
      <x:c r="E2" s="112"/>
      <x:c r="F2" s="112"/>
      <x:c r="G2" s="112"/>
      <x:c r="H2" s="112"/>
      <x:c r="I2" s="112"/>
      <x:c r="J2" s="112"/>
      <x:c r="K2" s="112"/>
      <x:c r="L2" s="112"/>
    </x:row>
    <x:row r="3">
      <x:c r="A3" s="113" t="str">
        <x:v>Volume = trailing 12-month US average. A zero can still represent sporadic niche demand; keep exact part-number pages when supported by GSC, customer RFQs, or fitment evidence.</x:v>
      </x:c>
      <x:c r="B3" s="113"/>
      <x:c r="C3" s="113"/>
      <x:c r="D3" s="113"/>
      <x:c r="E3" s="113"/>
      <x:c r="F3" s="113"/>
      <x:c r="G3" s="113"/>
      <x:c r="H3" s="113"/>
      <x:c r="I3" s="113"/>
      <x:c r="J3" s="113"/>
      <x:c r="K3" s="113"/>
      <x:c r="L3" s="113"/>
    </x:row>
    <x:row r="4">
      <x:c r="A4" s="114" t="str">
        <x:v>Keyword</x:v>
      </x:c>
      <x:c r="B4" s="114" t="str">
        <x:v>US Volume</x:v>
      </x:c>
      <x:c r="C4" s="114" t="str">
        <x:v>CPC (USD)</x:v>
      </x:c>
      <x:c r="D4" s="114" t="str">
        <x:v>Paid Competition</x:v>
      </x:c>
      <x:c r="E4" s="114" t="str">
        <x:v>Trend %</x:v>
      </x:c>
      <x:c r="F4" s="114" t="str">
        <x:v>Category</x:v>
      </x:c>
      <x:c r="G4" s="114" t="str">
        <x:v>Intent</x:v>
      </x:c>
      <x:c r="H4" s="114" t="str">
        <x:v>Priority</x:v>
      </x:c>
      <x:c r="I4" s="114" t="str">
        <x:v>Recommended Target</x:v>
      </x:c>
      <x:c r="J4" s="114" t="str">
        <x:v>Source URL</x:v>
      </x:c>
      <x:c r="K4" s="114" t="str">
        <x:v>Notes</x:v>
      </x:c>
      <x:c r="L4" s="114" t="str">
        <x:v>Volume Rank</x:v>
      </x:c>
    </x:row>
    <x:row r="5">
      <x:c r="A5" s="115" t="str">
        <x:v>mtu engine parts</x:v>
      </x:c>
      <x:c r="B5" s="94" t="n">
        <x:v>50</x:v>
      </x:c>
      <x:c r="C5" s="116" t="n">
        <x:v>0</x:v>
      </x:c>
      <x:c r="D5" s="93" t="str">
        <x:v>Low</x:v>
      </x:c>
      <x:c r="E5" s="117" t="n">
        <x:v>-0.38</x:v>
      </x:c>
      <x:c r="F5" s="93" t="str">
        <x:v>Core commercial</x:v>
      </x:c>
      <x:c r="G5" s="93" t="str">
        <x:v>Commercial</x:v>
      </x:c>
      <x:c r="H5" s="95" t="str">
        <x:v>P1</x:v>
      </x:c>
      <x:c r="I5" s="93" t="str">
        <x:v>MTU spare-parts hub</x:v>
      </x:c>
      <x:c r="J5" s="93" t="str">
        <x:v>https://keywordseverywhere.com/tools/search-volume-checker/</x:v>
      </x:c>
      <x:c r="K5" s="93" t="str">
        <x:v>Validated US demand</x:v>
      </x:c>
      <x:c r="L5" s="93" t="n">
        <x:f>RANK(B5,$B$5:$B$93,0)+COUNTIF($B$5:B5,B5)-1</x:f>
        <x:v>8</x:v>
      </x:c>
    </x:row>
    <x:row r="6">
      <x:c r="A6" s="118" t="str">
        <x:v>mtu spare parts</x:v>
      </x:c>
      <x:c r="B6" s="97" t="n">
        <x:v>30</x:v>
      </x:c>
      <x:c r="C6" s="119" t="n">
        <x:v>0</x:v>
      </x:c>
      <x:c r="D6" s="96" t="str">
        <x:v>Low</x:v>
      </x:c>
      <x:c r="E6" s="120" t="n">
        <x:v>-0.72</x:v>
      </x:c>
      <x:c r="F6" s="96" t="str">
        <x:v>Core commercial</x:v>
      </x:c>
      <x:c r="G6" s="96" t="str">
        <x:v>Commercial</x:v>
      </x:c>
      <x:c r="H6" s="98" t="str">
        <x:v>P1</x:v>
      </x:c>
      <x:c r="I6" s="96" t="str">
        <x:v>MTU spare-parts hub</x:v>
      </x:c>
      <x:c r="J6" s="96" t="str">
        <x:v>https://keywordseverywhere.com/tools/search-volume-checker/</x:v>
      </x:c>
      <x:c r="K6" s="96" t="str">
        <x:v>Validated US demand</x:v>
      </x:c>
      <x:c r="L6" s="96" t="n">
        <x:f>RANK(B6,$B$5:$B$93,0)+COUNTIF($B$5:B6,B6)-1</x:f>
        <x:v>12</x:v>
      </x:c>
    </x:row>
    <x:row r="7">
      <x:c r="A7" s="118" t="str">
        <x:v>mtu replacement parts</x:v>
      </x:c>
      <x:c r="B7" s="97" t="n">
        <x:v>0</x:v>
      </x:c>
      <x:c r="C7" s="119" t="n">
        <x:v>0</x:v>
      </x:c>
      <x:c r="D7" s="96" t="str">
        <x:v>Low</x:v>
      </x:c>
      <x:c r="E7" s="120"/>
      <x:c r="F7" s="96" t="str">
        <x:v>Core commercial</x:v>
      </x:c>
      <x:c r="G7" s="96" t="str">
        <x:v>Commercial</x:v>
      </x:c>
      <x:c r="H7" s="98" t="str">
        <x:v>P3</x:v>
      </x:c>
      <x:c r="I7" s="96" t="str">
        <x:v>MTU spare-parts hub</x:v>
      </x:c>
      <x:c r="J7" s="96" t="str">
        <x:v>https://keywordseverywhere.com/tools/search-volume-checker/</x:v>
      </x:c>
      <x:c r="K7" s="96" t="str">
        <x:v>KE reports 0; retain only with GSC, customer, or part-number evidence</x:v>
      </x:c>
      <x:c r="L7" s="96" t="n">
        <x:f>RANK(B7,$B$5:$B$93,0)+COUNTIF($B$5:B7,B7)-1</x:f>
        <x:v>39</x:v>
      </x:c>
    </x:row>
    <x:row r="8">
      <x:c r="A8" s="118" t="str">
        <x:v>mtu engine spare parts</x:v>
      </x:c>
      <x:c r="B8" s="97" t="n">
        <x:v>10</x:v>
      </x:c>
      <x:c r="C8" s="119" t="n">
        <x:v>0</x:v>
      </x:c>
      <x:c r="D8" s="96" t="str">
        <x:v>Medium</x:v>
      </x:c>
      <x:c r="E8" s="120" t="n">
        <x:v>1.75</x:v>
      </x:c>
      <x:c r="F8" s="96" t="str">
        <x:v>Core commercial</x:v>
      </x:c>
      <x:c r="G8" s="96" t="str">
        <x:v>Commercial</x:v>
      </x:c>
      <x:c r="H8" s="98" t="str">
        <x:v>P2</x:v>
      </x:c>
      <x:c r="I8" s="96" t="str">
        <x:v>MTU spare-parts hub</x:v>
      </x:c>
      <x:c r="J8" s="96" t="str">
        <x:v>https://keywordseverywhere.com/tools/search-volume-checker/</x:v>
      </x:c>
      <x:c r="K8" s="96" t="str">
        <x:v>Validated US demand</x:v>
      </x:c>
      <x:c r="L8" s="96" t="n">
        <x:f>RANK(B8,$B$5:$B$93,0)+COUNTIF($B$5:B8,B8)-1</x:f>
        <x:v>16</x:v>
      </x:c>
    </x:row>
    <x:row r="9">
      <x:c r="A9" s="118" t="str">
        <x:v>mtu diesel engine parts</x:v>
      </x:c>
      <x:c r="B9" s="97" t="n">
        <x:v>10</x:v>
      </x:c>
      <x:c r="C9" s="119" t="n">
        <x:v>0</x:v>
      </x:c>
      <x:c r="D9" s="96" t="str">
        <x:v>Medium</x:v>
      </x:c>
      <x:c r="E9" s="120" t="n">
        <x:v>0.1</x:v>
      </x:c>
      <x:c r="F9" s="96" t="str">
        <x:v>Core commercial</x:v>
      </x:c>
      <x:c r="G9" s="96" t="str">
        <x:v>Commercial</x:v>
      </x:c>
      <x:c r="H9" s="98" t="str">
        <x:v>P2</x:v>
      </x:c>
      <x:c r="I9" s="96" t="str">
        <x:v>MTU spare-parts hub</x:v>
      </x:c>
      <x:c r="J9" s="96" t="str">
        <x:v>https://keywordseverywhere.com/tools/search-volume-checker/</x:v>
      </x:c>
      <x:c r="K9" s="96" t="str">
        <x:v>Validated US demand</x:v>
      </x:c>
      <x:c r="L9" s="96" t="n">
        <x:f>RANK(B9,$B$5:$B$93,0)+COUNTIF($B$5:B9,B9)-1</x:f>
        <x:v>17</x:v>
      </x:c>
    </x:row>
    <x:row r="10">
      <x:c r="A10" s="118" t="str">
        <x:v>mtu marine engine parts</x:v>
      </x:c>
      <x:c r="B10" s="97" t="n">
        <x:v>10</x:v>
      </x:c>
      <x:c r="C10" s="119" t="n">
        <x:v>0</x:v>
      </x:c>
      <x:c r="D10" s="96" t="str">
        <x:v>High</x:v>
      </x:c>
      <x:c r="E10" s="120" t="n">
        <x:v>0.1</x:v>
      </x:c>
      <x:c r="F10" s="96" t="str">
        <x:v>Core commercial</x:v>
      </x:c>
      <x:c r="G10" s="96" t="str">
        <x:v>Commercial</x:v>
      </x:c>
      <x:c r="H10" s="98" t="str">
        <x:v>P2</x:v>
      </x:c>
      <x:c r="I10" s="96" t="str">
        <x:v>Marine MTU parts landing page</x:v>
      </x:c>
      <x:c r="J10" s="96" t="str">
        <x:v>https://keywordseverywhere.com/tools/search-volume-checker/</x:v>
      </x:c>
      <x:c r="K10" s="96" t="str">
        <x:v>Validated US demand</x:v>
      </x:c>
      <x:c r="L10" s="96" t="n">
        <x:f>RANK(B10,$B$5:$B$93,0)+COUNTIF($B$5:B10,B10)-1</x:f>
        <x:v>18</x:v>
      </x:c>
    </x:row>
    <x:row r="11">
      <x:c r="A11" s="118" t="str">
        <x:v>mtu marine engine spare parts</x:v>
      </x:c>
      <x:c r="B11" s="97" t="n">
        <x:v>0</x:v>
      </x:c>
      <x:c r="C11" s="119" t="n">
        <x:v>0</x:v>
      </x:c>
      <x:c r="D11" s="96" t="str">
        <x:v>Low</x:v>
      </x:c>
      <x:c r="E11" s="120"/>
      <x:c r="F11" s="96" t="str">
        <x:v>Core commercial</x:v>
      </x:c>
      <x:c r="G11" s="96" t="str">
        <x:v>Commercial</x:v>
      </x:c>
      <x:c r="H11" s="98" t="str">
        <x:v>P3</x:v>
      </x:c>
      <x:c r="I11" s="96" t="str">
        <x:v>Marine MTU parts landing page</x:v>
      </x:c>
      <x:c r="J11" s="96" t="str">
        <x:v>https://keywordseverywhere.com/tools/search-volume-checker/</x:v>
      </x:c>
      <x:c r="K11" s="96" t="str">
        <x:v>KE reports 0; retain only with GSC, customer, or part-number evidence</x:v>
      </x:c>
      <x:c r="L11" s="96" t="n">
        <x:f>RANK(B11,$B$5:$B$93,0)+COUNTIF($B$5:B11,B11)-1</x:f>
        <x:v>40</x:v>
      </x:c>
    </x:row>
    <x:row r="12">
      <x:c r="A12" s="118" t="str">
        <x:v>mtu engine parts supplier</x:v>
      </x:c>
      <x:c r="B12" s="97" t="n">
        <x:v>10</x:v>
      </x:c>
      <x:c r="C12" s="119" t="n">
        <x:v>0</x:v>
      </x:c>
      <x:c r="D12" s="96" t="str">
        <x:v>Low</x:v>
      </x:c>
      <x:c r="E12" s="120" t="n">
        <x:v>-1</x:v>
      </x:c>
      <x:c r="F12" s="96" t="str">
        <x:v>Core commercial</x:v>
      </x:c>
      <x:c r="G12" s="96" t="str">
        <x:v>Transactional</x:v>
      </x:c>
      <x:c r="H12" s="98" t="str">
        <x:v>P2</x:v>
      </x:c>
      <x:c r="I12" s="96" t="str">
        <x:v>MTU spare-parts hub</x:v>
      </x:c>
      <x:c r="J12" s="96" t="str">
        <x:v>https://keywordseverywhere.com/tools/search-volume-checker/</x:v>
      </x:c>
      <x:c r="K12" s="96" t="str">
        <x:v>Validated US demand</x:v>
      </x:c>
      <x:c r="L12" s="96" t="n">
        <x:f>RANK(B12,$B$5:$B$93,0)+COUNTIF($B$5:B12,B12)-1</x:f>
        <x:v>19</x:v>
      </x:c>
    </x:row>
    <x:row r="13">
      <x:c r="A13" s="118" t="str">
        <x:v>mtu spare parts supplier</x:v>
      </x:c>
      <x:c r="B13" s="97" t="n">
        <x:v>0</x:v>
      </x:c>
      <x:c r="C13" s="119" t="n">
        <x:v>0</x:v>
      </x:c>
      <x:c r="D13" s="96" t="str">
        <x:v>Low</x:v>
      </x:c>
      <x:c r="E13" s="120"/>
      <x:c r="F13" s="96" t="str">
        <x:v>Core commercial</x:v>
      </x:c>
      <x:c r="G13" s="96" t="str">
        <x:v>Transactional</x:v>
      </x:c>
      <x:c r="H13" s="98" t="str">
        <x:v>P3</x:v>
      </x:c>
      <x:c r="I13" s="96" t="str">
        <x:v>MTU spare-parts hub</x:v>
      </x:c>
      <x:c r="J13" s="96" t="str">
        <x:v>https://keywordseverywhere.com/tools/search-volume-checker/</x:v>
      </x:c>
      <x:c r="K13" s="96" t="str">
        <x:v>KE reports 0; retain only with GSC, customer, or part-number evidence</x:v>
      </x:c>
      <x:c r="L13" s="96" t="n">
        <x:f>RANK(B13,$B$5:$B$93,0)+COUNTIF($B$5:B13,B13)-1</x:f>
        <x:v>41</x:v>
      </x:c>
    </x:row>
    <x:row r="14">
      <x:c r="A14" s="118" t="str">
        <x:v>mtu parts distributor</x:v>
      </x:c>
      <x:c r="B14" s="97" t="n">
        <x:v>10</x:v>
      </x:c>
      <x:c r="C14" s="119" t="n">
        <x:v>0</x:v>
      </x:c>
      <x:c r="D14" s="96" t="str">
        <x:v>Low</x:v>
      </x:c>
      <x:c r="E14" s="120" t="n">
        <x:v>-1</x:v>
      </x:c>
      <x:c r="F14" s="96" t="str">
        <x:v>Core commercial</x:v>
      </x:c>
      <x:c r="G14" s="96" t="str">
        <x:v>Transactional</x:v>
      </x:c>
      <x:c r="H14" s="98" t="str">
        <x:v>P2</x:v>
      </x:c>
      <x:c r="I14" s="96" t="str">
        <x:v>MTU spare-parts hub</x:v>
      </x:c>
      <x:c r="J14" s="96" t="str">
        <x:v>https://keywordseverywhere.com/tools/search-volume-checker/</x:v>
      </x:c>
      <x:c r="K14" s="96" t="str">
        <x:v>Validated US demand</x:v>
      </x:c>
      <x:c r="L14" s="96" t="n">
        <x:f>RANK(B14,$B$5:$B$93,0)+COUNTIF($B$5:B14,B14)-1</x:f>
        <x:v>20</x:v>
      </x:c>
    </x:row>
    <x:row r="15">
      <x:c r="A15" s="118" t="str">
        <x:v>mtu parts distributors</x:v>
      </x:c>
      <x:c r="B15" s="97" t="n">
        <x:v>10</x:v>
      </x:c>
      <x:c r="C15" s="119" t="n">
        <x:v>0</x:v>
      </x:c>
      <x:c r="D15" s="96" t="str">
        <x:v>Medium</x:v>
      </x:c>
      <x:c r="E15" s="120" t="n">
        <x:v>0</x:v>
      </x:c>
      <x:c r="F15" s="96" t="str">
        <x:v>Core commercial</x:v>
      </x:c>
      <x:c r="G15" s="96" t="str">
        <x:v>Transactional</x:v>
      </x:c>
      <x:c r="H15" s="98" t="str">
        <x:v>P2</x:v>
      </x:c>
      <x:c r="I15" s="96" t="str">
        <x:v>MTU spare-parts hub</x:v>
      </x:c>
      <x:c r="J15" s="96" t="str">
        <x:v>https://keywordseverywhere.com/tools/search-volume-checker/</x:v>
      </x:c>
      <x:c r="K15" s="96" t="str">
        <x:v>Validated US demand</x:v>
      </x:c>
      <x:c r="L15" s="96" t="n">
        <x:f>RANK(B15,$B$5:$B$93,0)+COUNTIF($B$5:B15,B15)-1</x:f>
        <x:v>21</x:v>
      </x:c>
    </x:row>
    <x:row r="16">
      <x:c r="A16" s="118" t="str">
        <x:v>mtu parts dealer</x:v>
      </x:c>
      <x:c r="B16" s="97" t="n">
        <x:v>0</x:v>
      </x:c>
      <x:c r="C16" s="119" t="n">
        <x:v>0</x:v>
      </x:c>
      <x:c r="D16" s="96" t="str">
        <x:v>Low</x:v>
      </x:c>
      <x:c r="E16" s="120"/>
      <x:c r="F16" s="96" t="str">
        <x:v>Core commercial</x:v>
      </x:c>
      <x:c r="G16" s="96" t="str">
        <x:v>Transactional</x:v>
      </x:c>
      <x:c r="H16" s="98" t="str">
        <x:v>P3</x:v>
      </x:c>
      <x:c r="I16" s="96" t="str">
        <x:v>MTU spare-parts hub</x:v>
      </x:c>
      <x:c r="J16" s="96" t="str">
        <x:v>https://keywordseverywhere.com/tools/search-volume-checker/</x:v>
      </x:c>
      <x:c r="K16" s="96" t="str">
        <x:v>KE reports 0; retain only with GSC, customer, or part-number evidence</x:v>
      </x:c>
      <x:c r="L16" s="96" t="n">
        <x:f>RANK(B16,$B$5:$B$93,0)+COUNTIF($B$5:B16,B16)-1</x:f>
        <x:v>42</x:v>
      </x:c>
    </x:row>
    <x:row r="17">
      <x:c r="A17" s="118" t="str">
        <x:v>mtu parts online</x:v>
      </x:c>
      <x:c r="B17" s="97" t="n">
        <x:v>10</x:v>
      </x:c>
      <x:c r="C17" s="119" t="n">
        <x:v>1.55</x:v>
      </x:c>
      <x:c r="D17" s="96" t="str">
        <x:v>Medium</x:v>
      </x:c>
      <x:c r="E17" s="120" t="n">
        <x:v>0</x:v>
      </x:c>
      <x:c r="F17" s="96" t="str">
        <x:v>Core commercial</x:v>
      </x:c>
      <x:c r="G17" s="96" t="str">
        <x:v>Transactional</x:v>
      </x:c>
      <x:c r="H17" s="98" t="str">
        <x:v>P2</x:v>
      </x:c>
      <x:c r="I17" s="96" t="str">
        <x:v>MTU spare-parts hub</x:v>
      </x:c>
      <x:c r="J17" s="96" t="str">
        <x:v>https://keywordseverywhere.com/tools/search-volume-checker/</x:v>
      </x:c>
      <x:c r="K17" s="96" t="str">
        <x:v>Validated US demand</x:v>
      </x:c>
      <x:c r="L17" s="96" t="n">
        <x:f>RANK(B17,$B$5:$B$93,0)+COUNTIF($B$5:B17,B17)-1</x:f>
        <x:v>22</x:v>
      </x:c>
    </x:row>
    <x:row r="18">
      <x:c r="A18" s="118" t="str">
        <x:v>mtu engine parts online</x:v>
      </x:c>
      <x:c r="B18" s="97" t="n">
        <x:v>0</x:v>
      </x:c>
      <x:c r="C18" s="119" t="n">
        <x:v>0</x:v>
      </x:c>
      <x:c r="D18" s="96" t="str">
        <x:v>Low</x:v>
      </x:c>
      <x:c r="E18" s="120"/>
      <x:c r="F18" s="96" t="str">
        <x:v>Core commercial</x:v>
      </x:c>
      <x:c r="G18" s="96" t="str">
        <x:v>Transactional</x:v>
      </x:c>
      <x:c r="H18" s="98" t="str">
        <x:v>P3</x:v>
      </x:c>
      <x:c r="I18" s="96" t="str">
        <x:v>MTU spare-parts hub</x:v>
      </x:c>
      <x:c r="J18" s="96" t="str">
        <x:v>https://keywordseverywhere.com/tools/search-volume-checker/</x:v>
      </x:c>
      <x:c r="K18" s="96" t="str">
        <x:v>KE reports 0; retain only with GSC, customer, or part-number evidence</x:v>
      </x:c>
      <x:c r="L18" s="96" t="n">
        <x:f>RANK(B18,$B$5:$B$93,0)+COUNTIF($B$5:B18,B18)-1</x:f>
        <x:v>43</x:v>
      </x:c>
    </x:row>
    <x:row r="19">
      <x:c r="A19" s="118" t="str">
        <x:v>mtu engine parts catalog</x:v>
      </x:c>
      <x:c r="B19" s="97" t="n">
        <x:v>10</x:v>
      </x:c>
      <x:c r="C19" s="119" t="n">
        <x:v>0</x:v>
      </x:c>
      <x:c r="D19" s="96" t="str">
        <x:v>Low</x:v>
      </x:c>
      <x:c r="E19" s="120" t="n">
        <x:v>2.67</x:v>
      </x:c>
      <x:c r="F19" s="96" t="str">
        <x:v>Core commercial</x:v>
      </x:c>
      <x:c r="G19" s="96" t="str">
        <x:v>Commercial</x:v>
      </x:c>
      <x:c r="H19" s="98" t="str">
        <x:v>P2</x:v>
      </x:c>
      <x:c r="I19" s="96" t="str">
        <x:v>Catalog page</x:v>
      </x:c>
      <x:c r="J19" s="96" t="str">
        <x:v>https://keywordseverywhere.com/tools/search-volume-checker/</x:v>
      </x:c>
      <x:c r="K19" s="96" t="str">
        <x:v>Validated US demand</x:v>
      </x:c>
      <x:c r="L19" s="96" t="n">
        <x:f>RANK(B19,$B$5:$B$93,0)+COUNTIF($B$5:B19,B19)-1</x:f>
        <x:v>23</x:v>
      </x:c>
    </x:row>
    <x:row r="20">
      <x:c r="A20" s="118" t="str">
        <x:v>mtu spare parts catalog</x:v>
      </x:c>
      <x:c r="B20" s="97" t="n">
        <x:v>10</x:v>
      </x:c>
      <x:c r="C20" s="119" t="n">
        <x:v>0</x:v>
      </x:c>
      <x:c r="D20" s="96" t="str">
        <x:v>Low</x:v>
      </x:c>
      <x:c r="E20" s="120" t="n">
        <x:v>-0.21</x:v>
      </x:c>
      <x:c r="F20" s="96" t="str">
        <x:v>Core commercial</x:v>
      </x:c>
      <x:c r="G20" s="96" t="str">
        <x:v>Commercial</x:v>
      </x:c>
      <x:c r="H20" s="98" t="str">
        <x:v>P2</x:v>
      </x:c>
      <x:c r="I20" s="96" t="str">
        <x:v>Catalog page</x:v>
      </x:c>
      <x:c r="J20" s="96" t="str">
        <x:v>https://keywordseverywhere.com/tools/search-volume-checker/</x:v>
      </x:c>
      <x:c r="K20" s="96" t="str">
        <x:v>Validated US demand</x:v>
      </x:c>
      <x:c r="L20" s="96" t="n">
        <x:f>RANK(B20,$B$5:$B$93,0)+COUNTIF($B$5:B20,B20)-1</x:f>
        <x:v>24</x:v>
      </x:c>
    </x:row>
    <x:row r="21">
      <x:c r="A21" s="118" t="str">
        <x:v>mtu spare parts catalog pdf</x:v>
      </x:c>
      <x:c r="B21" s="97" t="n">
        <x:v>10</x:v>
      </x:c>
      <x:c r="C21" s="119" t="n">
        <x:v>0</x:v>
      </x:c>
      <x:c r="D21" s="96" t="str">
        <x:v>Low</x:v>
      </x:c>
      <x:c r="E21" s="120" t="n">
        <x:v>-0.27</x:v>
      </x:c>
      <x:c r="F21" s="96" t="str">
        <x:v>Core commercial</x:v>
      </x:c>
      <x:c r="G21" s="96" t="str">
        <x:v>Commercial</x:v>
      </x:c>
      <x:c r="H21" s="98" t="str">
        <x:v>P2</x:v>
      </x:c>
      <x:c r="I21" s="96" t="str">
        <x:v>Catalog page</x:v>
      </x:c>
      <x:c r="J21" s="96" t="str">
        <x:v>https://keywordseverywhere.com/tools/search-volume-checker/</x:v>
      </x:c>
      <x:c r="K21" s="96" t="str">
        <x:v>Validated US demand</x:v>
      </x:c>
      <x:c r="L21" s="96" t="n">
        <x:f>RANK(B21,$B$5:$B$93,0)+COUNTIF($B$5:B21,B21)-1</x:f>
        <x:v>25</x:v>
      </x:c>
    </x:row>
    <x:row r="22">
      <x:c r="A22" s="118" t="str">
        <x:v>mtu parts lookup</x:v>
      </x:c>
      <x:c r="B22" s="97" t="n">
        <x:v>0</x:v>
      </x:c>
      <x:c r="C22" s="119" t="n">
        <x:v>0</x:v>
      </x:c>
      <x:c r="D22" s="96" t="str">
        <x:v>Low</x:v>
      </x:c>
      <x:c r="E22" s="120"/>
      <x:c r="F22" s="96" t="str">
        <x:v>Core commercial</x:v>
      </x:c>
      <x:c r="G22" s="96" t="str">
        <x:v>Commercial</x:v>
      </x:c>
      <x:c r="H22" s="98" t="str">
        <x:v>P3</x:v>
      </x:c>
      <x:c r="I22" s="96" t="str">
        <x:v>Catalog page</x:v>
      </x:c>
      <x:c r="J22" s="96" t="str">
        <x:v>https://keywordseverywhere.com/tools/search-volume-checker/</x:v>
      </x:c>
      <x:c r="K22" s="96" t="str">
        <x:v>KE reports 0; retain only with GSC, customer, or part-number evidence</x:v>
      </x:c>
      <x:c r="L22" s="96" t="n">
        <x:f>RANK(B22,$B$5:$B$93,0)+COUNTIF($B$5:B22,B22)-1</x:f>
        <x:v>44</x:v>
      </x:c>
    </x:row>
    <x:row r="23">
      <x:c r="A23" s="118" t="str">
        <x:v>mtu parts price list</x:v>
      </x:c>
      <x:c r="B23" s="97" t="n">
        <x:v>0</x:v>
      </x:c>
      <x:c r="C23" s="119" t="n">
        <x:v>0</x:v>
      </x:c>
      <x:c r="D23" s="96" t="str">
        <x:v>Low</x:v>
      </x:c>
      <x:c r="E23" s="120"/>
      <x:c r="F23" s="96" t="str">
        <x:v>Core commercial</x:v>
      </x:c>
      <x:c r="G23" s="96" t="str">
        <x:v>Transactional</x:v>
      </x:c>
      <x:c r="H23" s="98" t="str">
        <x:v>P3</x:v>
      </x:c>
      <x:c r="I23" s="96" t="str">
        <x:v>MTU spare-parts hub</x:v>
      </x:c>
      <x:c r="J23" s="96" t="str">
        <x:v>https://keywordseverywhere.com/tools/search-volume-checker/</x:v>
      </x:c>
      <x:c r="K23" s="96" t="str">
        <x:v>KE reports 0; retain only with GSC, customer, or part-number evidence</x:v>
      </x:c>
      <x:c r="L23" s="96" t="n">
        <x:f>RANK(B23,$B$5:$B$93,0)+COUNTIF($B$5:B23,B23)-1</x:f>
        <x:v>45</x:v>
      </x:c>
    </x:row>
    <x:row r="24">
      <x:c r="A24" s="118" t="str">
        <x:v>genuine mtu parts</x:v>
      </x:c>
      <x:c r="B24" s="97" t="n">
        <x:v>0</x:v>
      </x:c>
      <x:c r="C24" s="119" t="n">
        <x:v>0</x:v>
      </x:c>
      <x:c r="D24" s="96" t="str">
        <x:v>Low</x:v>
      </x:c>
      <x:c r="E24" s="120"/>
      <x:c r="F24" s="96" t="str">
        <x:v>Core commercial</x:v>
      </x:c>
      <x:c r="G24" s="96" t="str">
        <x:v>Transactional</x:v>
      </x:c>
      <x:c r="H24" s="98" t="str">
        <x:v>P3</x:v>
      </x:c>
      <x:c r="I24" s="96" t="str">
        <x:v>MTU spare-parts hub</x:v>
      </x:c>
      <x:c r="J24" s="96" t="str">
        <x:v>https://keywordseverywhere.com/tools/search-volume-checker/</x:v>
      </x:c>
      <x:c r="K24" s="96" t="str">
        <x:v>KE reports 0; retain only with GSC, customer, or part-number evidence</x:v>
      </x:c>
      <x:c r="L24" s="96" t="n">
        <x:f>RANK(B24,$B$5:$B$93,0)+COUNTIF($B$5:B24,B24)-1</x:f>
        <x:v>46</x:v>
      </x:c>
    </x:row>
    <x:row r="25">
      <x:c r="A25" s="118" t="str">
        <x:v>mtu 2000 parts</x:v>
      </x:c>
      <x:c r="B25" s="97" t="n">
        <x:v>0</x:v>
      </x:c>
      <x:c r="C25" s="119" t="n">
        <x:v>0</x:v>
      </x:c>
      <x:c r="D25" s="96" t="str">
        <x:v>Low</x:v>
      </x:c>
      <x:c r="E25" s="120"/>
      <x:c r="F25" s="96" t="str">
        <x:v>Engine series</x:v>
      </x:c>
      <x:c r="G25" s="96" t="str">
        <x:v>Commercial</x:v>
      </x:c>
      <x:c r="H25" s="98" t="str">
        <x:v>P3</x:v>
      </x:c>
      <x:c r="I25" s="96" t="str">
        <x:v>MTU 2000 series page</x:v>
      </x:c>
      <x:c r="J25" s="96" t="str">
        <x:v>https://keywordseverywhere.com/tools/search-volume-checker/</x:v>
      </x:c>
      <x:c r="K25" s="96" t="str">
        <x:v>KE reports 0; retain only with GSC, customer, or part-number evidence</x:v>
      </x:c>
      <x:c r="L25" s="96" t="n">
        <x:f>RANK(B25,$B$5:$B$93,0)+COUNTIF($B$5:B25,B25)-1</x:f>
        <x:v>47</x:v>
      </x:c>
    </x:row>
    <x:row r="26">
      <x:c r="A26" s="118" t="str">
        <x:v>mtu series 2000 parts</x:v>
      </x:c>
      <x:c r="B26" s="97" t="n">
        <x:v>0</x:v>
      </x:c>
      <x:c r="C26" s="119" t="n">
        <x:v>0</x:v>
      </x:c>
      <x:c r="D26" s="96" t="str">
        <x:v>Low</x:v>
      </x:c>
      <x:c r="E26" s="120"/>
      <x:c r="F26" s="96" t="str">
        <x:v>Engine series</x:v>
      </x:c>
      <x:c r="G26" s="96" t="str">
        <x:v>Commercial</x:v>
      </x:c>
      <x:c r="H26" s="98" t="str">
        <x:v>P3</x:v>
      </x:c>
      <x:c r="I26" s="96" t="str">
        <x:v>MTU 2000 series page</x:v>
      </x:c>
      <x:c r="J26" s="96" t="str">
        <x:v>https://keywordseverywhere.com/tools/search-volume-checker/</x:v>
      </x:c>
      <x:c r="K26" s="96" t="str">
        <x:v>KE reports 0; retain only with GSC, customer, or part-number evidence</x:v>
      </x:c>
      <x:c r="L26" s="96" t="n">
        <x:f>RANK(B26,$B$5:$B$93,0)+COUNTIF($B$5:B26,B26)-1</x:f>
        <x:v>48</x:v>
      </x:c>
    </x:row>
    <x:row r="27">
      <x:c r="A27" s="118" t="str">
        <x:v>mtu 2000 engine parts</x:v>
      </x:c>
      <x:c r="B27" s="97" t="n">
        <x:v>0</x:v>
      </x:c>
      <x:c r="C27" s="119" t="n">
        <x:v>0</x:v>
      </x:c>
      <x:c r="D27" s="96" t="str">
        <x:v>Low</x:v>
      </x:c>
      <x:c r="E27" s="120"/>
      <x:c r="F27" s="96" t="str">
        <x:v>Engine series</x:v>
      </x:c>
      <x:c r="G27" s="96" t="str">
        <x:v>Commercial</x:v>
      </x:c>
      <x:c r="H27" s="98" t="str">
        <x:v>P3</x:v>
      </x:c>
      <x:c r="I27" s="96" t="str">
        <x:v>MTU 2000 series page</x:v>
      </x:c>
      <x:c r="J27" s="96" t="str">
        <x:v>https://keywordseverywhere.com/tools/search-volume-checker/</x:v>
      </x:c>
      <x:c r="K27" s="96" t="str">
        <x:v>KE reports 0; retain only with GSC, customer, or part-number evidence</x:v>
      </x:c>
      <x:c r="L27" s="96" t="n">
        <x:f>RANK(B27,$B$5:$B$93,0)+COUNTIF($B$5:B27,B27)-1</x:f>
        <x:v>49</x:v>
      </x:c>
    </x:row>
    <x:row r="28">
      <x:c r="A28" s="118" t="str">
        <x:v>mtu 4000 parts</x:v>
      </x:c>
      <x:c r="B28" s="97" t="n">
        <x:v>0</x:v>
      </x:c>
      <x:c r="C28" s="119" t="n">
        <x:v>0</x:v>
      </x:c>
      <x:c r="D28" s="96" t="str">
        <x:v>Low</x:v>
      </x:c>
      <x:c r="E28" s="120"/>
      <x:c r="F28" s="96" t="str">
        <x:v>Engine series</x:v>
      </x:c>
      <x:c r="G28" s="96" t="str">
        <x:v>Commercial</x:v>
      </x:c>
      <x:c r="H28" s="98" t="str">
        <x:v>P3</x:v>
      </x:c>
      <x:c r="I28" s="96" t="str">
        <x:v>MTU 4000 series page</x:v>
      </x:c>
      <x:c r="J28" s="96" t="str">
        <x:v>https://keywordseverywhere.com/tools/search-volume-checker/</x:v>
      </x:c>
      <x:c r="K28" s="96" t="str">
        <x:v>KE reports 0; retain only with GSC, customer, or part-number evidence</x:v>
      </x:c>
      <x:c r="L28" s="96" t="n">
        <x:f>RANK(B28,$B$5:$B$93,0)+COUNTIF($B$5:B28,B28)-1</x:f>
        <x:v>50</x:v>
      </x:c>
    </x:row>
    <x:row r="29">
      <x:c r="A29" s="118" t="str">
        <x:v>mtu series 4000 parts</x:v>
      </x:c>
      <x:c r="B29" s="97" t="n">
        <x:v>0</x:v>
      </x:c>
      <x:c r="C29" s="119" t="n">
        <x:v>0</x:v>
      </x:c>
      <x:c r="D29" s="96" t="str">
        <x:v>Low</x:v>
      </x:c>
      <x:c r="E29" s="120"/>
      <x:c r="F29" s="96" t="str">
        <x:v>Engine series</x:v>
      </x:c>
      <x:c r="G29" s="96" t="str">
        <x:v>Commercial</x:v>
      </x:c>
      <x:c r="H29" s="98" t="str">
        <x:v>P3</x:v>
      </x:c>
      <x:c r="I29" s="96" t="str">
        <x:v>MTU 4000 series page</x:v>
      </x:c>
      <x:c r="J29" s="96" t="str">
        <x:v>https://keywordseverywhere.com/tools/search-volume-checker/</x:v>
      </x:c>
      <x:c r="K29" s="96" t="str">
        <x:v>KE reports 0; retain only with GSC, customer, or part-number evidence</x:v>
      </x:c>
      <x:c r="L29" s="96" t="n">
        <x:f>RANK(B29,$B$5:$B$93,0)+COUNTIF($B$5:B29,B29)-1</x:f>
        <x:v>51</x:v>
      </x:c>
    </x:row>
    <x:row r="30">
      <x:c r="A30" s="118" t="str">
        <x:v>mtu 4000 engine parts</x:v>
      </x:c>
      <x:c r="B30" s="97" t="n">
        <x:v>0</x:v>
      </x:c>
      <x:c r="C30" s="119" t="n">
        <x:v>0</x:v>
      </x:c>
      <x:c r="D30" s="96" t="str">
        <x:v>Low</x:v>
      </x:c>
      <x:c r="E30" s="120"/>
      <x:c r="F30" s="96" t="str">
        <x:v>Engine series</x:v>
      </x:c>
      <x:c r="G30" s="96" t="str">
        <x:v>Commercial</x:v>
      </x:c>
      <x:c r="H30" s="98" t="str">
        <x:v>P3</x:v>
      </x:c>
      <x:c r="I30" s="96" t="str">
        <x:v>MTU 4000 series page</x:v>
      </x:c>
      <x:c r="J30" s="96" t="str">
        <x:v>https://keywordseverywhere.com/tools/search-volume-checker/</x:v>
      </x:c>
      <x:c r="K30" s="96" t="str">
        <x:v>KE reports 0; retain only with GSC, customer, or part-number evidence</x:v>
      </x:c>
      <x:c r="L30" s="96" t="n">
        <x:f>RANK(B30,$B$5:$B$93,0)+COUNTIF($B$5:B30,B30)-1</x:f>
        <x:v>52</x:v>
      </x:c>
    </x:row>
    <x:row r="31">
      <x:c r="A31" s="118" t="str">
        <x:v>mtu 8000 parts</x:v>
      </x:c>
      <x:c r="B31" s="97" t="n">
        <x:v>0</x:v>
      </x:c>
      <x:c r="C31" s="119" t="n">
        <x:v>0</x:v>
      </x:c>
      <x:c r="D31" s="96" t="str">
        <x:v>Low</x:v>
      </x:c>
      <x:c r="E31" s="120"/>
      <x:c r="F31" s="96" t="str">
        <x:v>Engine series</x:v>
      </x:c>
      <x:c r="G31" s="96" t="str">
        <x:v>Commercial</x:v>
      </x:c>
      <x:c r="H31" s="98" t="str">
        <x:v>P3</x:v>
      </x:c>
      <x:c r="I31" s="96" t="str">
        <x:v>MTU 8000 series page</x:v>
      </x:c>
      <x:c r="J31" s="96" t="str">
        <x:v>https://keywordseverywhere.com/tools/search-volume-checker/</x:v>
      </x:c>
      <x:c r="K31" s="96" t="str">
        <x:v>KE reports 0; retain only with GSC, customer, or part-number evidence</x:v>
      </x:c>
      <x:c r="L31" s="96" t="n">
        <x:f>RANK(B31,$B$5:$B$93,0)+COUNTIF($B$5:B31,B31)-1</x:f>
        <x:v>53</x:v>
      </x:c>
    </x:row>
    <x:row r="32">
      <x:c r="A32" s="118" t="str">
        <x:v>mtu 1800 parts</x:v>
      </x:c>
      <x:c r="B32" s="97" t="n">
        <x:v>0</x:v>
      </x:c>
      <x:c r="C32" s="119" t="n">
        <x:v>0</x:v>
      </x:c>
      <x:c r="D32" s="96" t="str">
        <x:v>Low</x:v>
      </x:c>
      <x:c r="E32" s="120"/>
      <x:c r="F32" s="96" t="str">
        <x:v>Engine series</x:v>
      </x:c>
      <x:c r="G32" s="96" t="str">
        <x:v>Commercial</x:v>
      </x:c>
      <x:c r="H32" s="98" t="str">
        <x:v>P3</x:v>
      </x:c>
      <x:c r="I32" s="96" t="str">
        <x:v>MTU spare-parts hub</x:v>
      </x:c>
      <x:c r="J32" s="96" t="str">
        <x:v>https://keywordseverywhere.com/tools/search-volume-checker/</x:v>
      </x:c>
      <x:c r="K32" s="96" t="str">
        <x:v>KE reports 0; retain only with GSC, customer, or part-number evidence</x:v>
      </x:c>
      <x:c r="L32" s="96" t="n">
        <x:f>RANK(B32,$B$5:$B$93,0)+COUNTIF($B$5:B32,B32)-1</x:f>
        <x:v>54</x:v>
      </x:c>
    </x:row>
    <x:row r="33">
      <x:c r="A33" s="118" t="str">
        <x:v>mtu 183 parts</x:v>
      </x:c>
      <x:c r="B33" s="97" t="n">
        <x:v>0</x:v>
      </x:c>
      <x:c r="C33" s="119" t="n">
        <x:v>0</x:v>
      </x:c>
      <x:c r="D33" s="96" t="str">
        <x:v>Low</x:v>
      </x:c>
      <x:c r="E33" s="120"/>
      <x:c r="F33" s="96" t="str">
        <x:v>Engine series</x:v>
      </x:c>
      <x:c r="G33" s="96" t="str">
        <x:v>Commercial</x:v>
      </x:c>
      <x:c r="H33" s="98" t="str">
        <x:v>P3</x:v>
      </x:c>
      <x:c r="I33" s="96" t="str">
        <x:v>MTU spare-parts hub</x:v>
      </x:c>
      <x:c r="J33" s="96" t="str">
        <x:v>https://keywordseverywhere.com/tools/search-volume-checker/</x:v>
      </x:c>
      <x:c r="K33" s="96" t="str">
        <x:v>KE reports 0; retain only with GSC, customer, or part-number evidence</x:v>
      </x:c>
      <x:c r="L33" s="96" t="n">
        <x:f>RANK(B33,$B$5:$B$93,0)+COUNTIF($B$5:B33,B33)-1</x:f>
        <x:v>55</x:v>
      </x:c>
    </x:row>
    <x:row r="34">
      <x:c r="A34" s="118" t="str">
        <x:v>mtu 396 parts</x:v>
      </x:c>
      <x:c r="B34" s="97" t="n">
        <x:v>10</x:v>
      </x:c>
      <x:c r="C34" s="119" t="n">
        <x:v>0</x:v>
      </x:c>
      <x:c r="D34" s="96" t="str">
        <x:v>Low</x:v>
      </x:c>
      <x:c r="E34" s="120" t="n">
        <x:v>0</x:v>
      </x:c>
      <x:c r="F34" s="96" t="str">
        <x:v>Engine series</x:v>
      </x:c>
      <x:c r="G34" s="96" t="str">
        <x:v>Commercial</x:v>
      </x:c>
      <x:c r="H34" s="98" t="str">
        <x:v>P2</x:v>
      </x:c>
      <x:c r="I34" s="96" t="str">
        <x:v>MTU 396 series page</x:v>
      </x:c>
      <x:c r="J34" s="96" t="str">
        <x:v>https://keywordseverywhere.com/tools/search-volume-checker/</x:v>
      </x:c>
      <x:c r="K34" s="96" t="str">
        <x:v>Validated US demand</x:v>
      </x:c>
      <x:c r="L34" s="96" t="n">
        <x:f>RANK(B34,$B$5:$B$93,0)+COUNTIF($B$5:B34,B34)-1</x:f>
        <x:v>26</x:v>
      </x:c>
    </x:row>
    <x:row r="35">
      <x:c r="A35" s="118" t="str">
        <x:v>mtu 538 parts</x:v>
      </x:c>
      <x:c r="B35" s="97" t="n">
        <x:v>0</x:v>
      </x:c>
      <x:c r="C35" s="119" t="n">
        <x:v>0</x:v>
      </x:c>
      <x:c r="D35" s="96" t="str">
        <x:v>Low</x:v>
      </x:c>
      <x:c r="E35" s="120"/>
      <x:c r="F35" s="96" t="str">
        <x:v>Engine series</x:v>
      </x:c>
      <x:c r="G35" s="96" t="str">
        <x:v>Commercial</x:v>
      </x:c>
      <x:c r="H35" s="98" t="str">
        <x:v>P3</x:v>
      </x:c>
      <x:c r="I35" s="96" t="str">
        <x:v>MTU spare-parts hub</x:v>
      </x:c>
      <x:c r="J35" s="96" t="str">
        <x:v>https://keywordseverywhere.com/tools/search-volume-checker/</x:v>
      </x:c>
      <x:c r="K35" s="96" t="str">
        <x:v>KE reports 0; retain only with GSC, customer, or part-number evidence</x:v>
      </x:c>
      <x:c r="L35" s="96" t="n">
        <x:f>RANK(B35,$B$5:$B$93,0)+COUNTIF($B$5:B35,B35)-1</x:f>
        <x:v>56</x:v>
      </x:c>
    </x:row>
    <x:row r="36">
      <x:c r="A36" s="118" t="str">
        <x:v>mtu 595 parts</x:v>
      </x:c>
      <x:c r="B36" s="97" t="n">
        <x:v>0</x:v>
      </x:c>
      <x:c r="C36" s="119" t="n">
        <x:v>0</x:v>
      </x:c>
      <x:c r="D36" s="96" t="str">
        <x:v>Low</x:v>
      </x:c>
      <x:c r="E36" s="120"/>
      <x:c r="F36" s="96" t="str">
        <x:v>Engine series</x:v>
      </x:c>
      <x:c r="G36" s="96" t="str">
        <x:v>Commercial</x:v>
      </x:c>
      <x:c r="H36" s="98" t="str">
        <x:v>P3</x:v>
      </x:c>
      <x:c r="I36" s="96" t="str">
        <x:v>MTU spare-parts hub</x:v>
      </x:c>
      <x:c r="J36" s="96" t="str">
        <x:v>https://keywordseverywhere.com/tools/search-volume-checker/</x:v>
      </x:c>
      <x:c r="K36" s="96" t="str">
        <x:v>KE reports 0; retain only with GSC, customer, or part-number evidence</x:v>
      </x:c>
      <x:c r="L36" s="96" t="n">
        <x:f>RANK(B36,$B$5:$B$93,0)+COUNTIF($B$5:B36,B36)-1</x:f>
        <x:v>57</x:v>
      </x:c>
    </x:row>
    <x:row r="37">
      <x:c r="A37" s="118" t="str">
        <x:v>mtu 956 parts</x:v>
      </x:c>
      <x:c r="B37" s="97" t="n">
        <x:v>0</x:v>
      </x:c>
      <x:c r="C37" s="119" t="n">
        <x:v>0</x:v>
      </x:c>
      <x:c r="D37" s="96" t="str">
        <x:v>Low</x:v>
      </x:c>
      <x:c r="E37" s="120"/>
      <x:c r="F37" s="96" t="str">
        <x:v>Engine series</x:v>
      </x:c>
      <x:c r="G37" s="96" t="str">
        <x:v>Commercial</x:v>
      </x:c>
      <x:c r="H37" s="98" t="str">
        <x:v>P3</x:v>
      </x:c>
      <x:c r="I37" s="96" t="str">
        <x:v>MTU spare-parts hub</x:v>
      </x:c>
      <x:c r="J37" s="96" t="str">
        <x:v>https://keywordseverywhere.com/tools/search-volume-checker/</x:v>
      </x:c>
      <x:c r="K37" s="96" t="str">
        <x:v>KE reports 0; retain only with GSC, customer, or part-number evidence</x:v>
      </x:c>
      <x:c r="L37" s="96" t="n">
        <x:f>RANK(B37,$B$5:$B$93,0)+COUNTIF($B$5:B37,B37)-1</x:f>
        <x:v>58</x:v>
      </x:c>
    </x:row>
    <x:row r="38">
      <x:c r="A38" s="118" t="str">
        <x:v>mtu 1163 parts</x:v>
      </x:c>
      <x:c r="B38" s="97" t="n">
        <x:v>0</x:v>
      </x:c>
      <x:c r="C38" s="119" t="n">
        <x:v>0</x:v>
      </x:c>
      <x:c r="D38" s="96" t="str">
        <x:v>Low</x:v>
      </x:c>
      <x:c r="E38" s="120"/>
      <x:c r="F38" s="96" t="str">
        <x:v>Engine series</x:v>
      </x:c>
      <x:c r="G38" s="96" t="str">
        <x:v>Commercial</x:v>
      </x:c>
      <x:c r="H38" s="98" t="str">
        <x:v>P3</x:v>
      </x:c>
      <x:c r="I38" s="96" t="str">
        <x:v>MTU spare-parts hub</x:v>
      </x:c>
      <x:c r="J38" s="96" t="str">
        <x:v>https://keywordseverywhere.com/tools/search-volume-checker/</x:v>
      </x:c>
      <x:c r="K38" s="96" t="str">
        <x:v>KE reports 0; retain only with GSC, customer, or part-number evidence</x:v>
      </x:c>
      <x:c r="L38" s="96" t="n">
        <x:f>RANK(B38,$B$5:$B$93,0)+COUNTIF($B$5:B38,B38)-1</x:f>
        <x:v>59</x:v>
      </x:c>
    </x:row>
    <x:row r="39">
      <x:c r="A39" s="118" t="str">
        <x:v>mtu 8v2000 parts</x:v>
      </x:c>
      <x:c r="B39" s="97" t="n">
        <x:v>0</x:v>
      </x:c>
      <x:c r="C39" s="119" t="n">
        <x:v>0</x:v>
      </x:c>
      <x:c r="D39" s="96" t="str">
        <x:v>Low</x:v>
      </x:c>
      <x:c r="E39" s="120"/>
      <x:c r="F39" s="96" t="str">
        <x:v>Engine model</x:v>
      </x:c>
      <x:c r="G39" s="96" t="str">
        <x:v>Commercial</x:v>
      </x:c>
      <x:c r="H39" s="98" t="str">
        <x:v>P3</x:v>
      </x:c>
      <x:c r="I39" s="96" t="str">
        <x:v>MTU 2000 series page</x:v>
      </x:c>
      <x:c r="J39" s="96" t="str">
        <x:v>https://keywordseverywhere.com/tools/search-volume-checker/</x:v>
      </x:c>
      <x:c r="K39" s="96" t="str">
        <x:v>KE reports 0; retain only with GSC, customer, or part-number evidence</x:v>
      </x:c>
      <x:c r="L39" s="96" t="n">
        <x:f>RANK(B39,$B$5:$B$93,0)+COUNTIF($B$5:B39,B39)-1</x:f>
        <x:v>60</x:v>
      </x:c>
    </x:row>
    <x:row r="40">
      <x:c r="A40" s="118" t="str">
        <x:v>mtu 10v2000 parts</x:v>
      </x:c>
      <x:c r="B40" s="97" t="n">
        <x:v>0</x:v>
      </x:c>
      <x:c r="C40" s="119" t="n">
        <x:v>0</x:v>
      </x:c>
      <x:c r="D40" s="96" t="str">
        <x:v>Low</x:v>
      </x:c>
      <x:c r="E40" s="120"/>
      <x:c r="F40" s="96" t="str">
        <x:v>Engine model</x:v>
      </x:c>
      <x:c r="G40" s="96" t="str">
        <x:v>Commercial</x:v>
      </x:c>
      <x:c r="H40" s="98" t="str">
        <x:v>P3</x:v>
      </x:c>
      <x:c r="I40" s="96" t="str">
        <x:v>MTU 2000 series page</x:v>
      </x:c>
      <x:c r="J40" s="96" t="str">
        <x:v>https://keywordseverywhere.com/tools/search-volume-checker/</x:v>
      </x:c>
      <x:c r="K40" s="96" t="str">
        <x:v>KE reports 0; retain only with GSC, customer, or part-number evidence</x:v>
      </x:c>
      <x:c r="L40" s="96" t="n">
        <x:f>RANK(B40,$B$5:$B$93,0)+COUNTIF($B$5:B40,B40)-1</x:f>
        <x:v>61</x:v>
      </x:c>
    </x:row>
    <x:row r="41">
      <x:c r="A41" s="118" t="str">
        <x:v>mtu 12v2000 parts</x:v>
      </x:c>
      <x:c r="B41" s="97" t="n">
        <x:v>0</x:v>
      </x:c>
      <x:c r="C41" s="119" t="n">
        <x:v>0</x:v>
      </x:c>
      <x:c r="D41" s="96" t="str">
        <x:v>Low</x:v>
      </x:c>
      <x:c r="E41" s="120"/>
      <x:c r="F41" s="96" t="str">
        <x:v>Engine model</x:v>
      </x:c>
      <x:c r="G41" s="96" t="str">
        <x:v>Commercial</x:v>
      </x:c>
      <x:c r="H41" s="98" t="str">
        <x:v>P3</x:v>
      </x:c>
      <x:c r="I41" s="96" t="str">
        <x:v>MTU 2000 series page</x:v>
      </x:c>
      <x:c r="J41" s="96" t="str">
        <x:v>https://keywordseverywhere.com/tools/search-volume-checker/</x:v>
      </x:c>
      <x:c r="K41" s="96" t="str">
        <x:v>KE reports 0; retain only with GSC, customer, or part-number evidence</x:v>
      </x:c>
      <x:c r="L41" s="96" t="n">
        <x:f>RANK(B41,$B$5:$B$93,0)+COUNTIF($B$5:B41,B41)-1</x:f>
        <x:v>62</x:v>
      </x:c>
    </x:row>
    <x:row r="42">
      <x:c r="A42" s="118" t="str">
        <x:v>mtu 16v2000 parts</x:v>
      </x:c>
      <x:c r="B42" s="97" t="n">
        <x:v>0</x:v>
      </x:c>
      <x:c r="C42" s="119" t="n">
        <x:v>0</x:v>
      </x:c>
      <x:c r="D42" s="96" t="str">
        <x:v>Low</x:v>
      </x:c>
      <x:c r="E42" s="120"/>
      <x:c r="F42" s="96" t="str">
        <x:v>Engine model</x:v>
      </x:c>
      <x:c r="G42" s="96" t="str">
        <x:v>Commercial</x:v>
      </x:c>
      <x:c r="H42" s="98" t="str">
        <x:v>P3</x:v>
      </x:c>
      <x:c r="I42" s="96" t="str">
        <x:v>MTU 2000 series page</x:v>
      </x:c>
      <x:c r="J42" s="96" t="str">
        <x:v>https://keywordseverywhere.com/tools/search-volume-checker/</x:v>
      </x:c>
      <x:c r="K42" s="96" t="str">
        <x:v>KE reports 0; retain only with GSC, customer, or part-number evidence</x:v>
      </x:c>
      <x:c r="L42" s="96" t="n">
        <x:f>RANK(B42,$B$5:$B$93,0)+COUNTIF($B$5:B42,B42)-1</x:f>
        <x:v>63</x:v>
      </x:c>
    </x:row>
    <x:row r="43">
      <x:c r="A43" s="118" t="str">
        <x:v>mtu 12v4000 parts</x:v>
      </x:c>
      <x:c r="B43" s="97" t="n">
        <x:v>0</x:v>
      </x:c>
      <x:c r="C43" s="119" t="n">
        <x:v>0</x:v>
      </x:c>
      <x:c r="D43" s="96" t="str">
        <x:v>Low</x:v>
      </x:c>
      <x:c r="E43" s="120"/>
      <x:c r="F43" s="96" t="str">
        <x:v>Engine model</x:v>
      </x:c>
      <x:c r="G43" s="96" t="str">
        <x:v>Commercial</x:v>
      </x:c>
      <x:c r="H43" s="98" t="str">
        <x:v>P3</x:v>
      </x:c>
      <x:c r="I43" s="96" t="str">
        <x:v>MTU 4000 series page</x:v>
      </x:c>
      <x:c r="J43" s="96" t="str">
        <x:v>https://keywordseverywhere.com/tools/search-volume-checker/</x:v>
      </x:c>
      <x:c r="K43" s="96" t="str">
        <x:v>KE reports 0; retain only with GSC, customer, or part-number evidence</x:v>
      </x:c>
      <x:c r="L43" s="96" t="n">
        <x:f>RANK(B43,$B$5:$B$93,0)+COUNTIF($B$5:B43,B43)-1</x:f>
        <x:v>64</x:v>
      </x:c>
    </x:row>
    <x:row r="44">
      <x:c r="A44" s="118" t="str">
        <x:v>mtu 16v4000 parts</x:v>
      </x:c>
      <x:c r="B44" s="97" t="n">
        <x:v>0</x:v>
      </x:c>
      <x:c r="C44" s="119" t="n">
        <x:v>0</x:v>
      </x:c>
      <x:c r="D44" s="96" t="str">
        <x:v>Low</x:v>
      </x:c>
      <x:c r="E44" s="120"/>
      <x:c r="F44" s="96" t="str">
        <x:v>Engine model</x:v>
      </x:c>
      <x:c r="G44" s="96" t="str">
        <x:v>Commercial</x:v>
      </x:c>
      <x:c r="H44" s="98" t="str">
        <x:v>P3</x:v>
      </x:c>
      <x:c r="I44" s="96" t="str">
        <x:v>MTU 4000 series page</x:v>
      </x:c>
      <x:c r="J44" s="96" t="str">
        <x:v>https://keywordseverywhere.com/tools/search-volume-checker/</x:v>
      </x:c>
      <x:c r="K44" s="96" t="str">
        <x:v>KE reports 0; retain only with GSC, customer, or part-number evidence</x:v>
      </x:c>
      <x:c r="L44" s="96" t="n">
        <x:f>RANK(B44,$B$5:$B$93,0)+COUNTIF($B$5:B44,B44)-1</x:f>
        <x:v>65</x:v>
      </x:c>
    </x:row>
    <x:row r="45">
      <x:c r="A45" s="118" t="str">
        <x:v>mtu 20v4000 parts</x:v>
      </x:c>
      <x:c r="B45" s="97" t="n">
        <x:v>0</x:v>
      </x:c>
      <x:c r="C45" s="119" t="n">
        <x:v>0</x:v>
      </x:c>
      <x:c r="D45" s="96" t="str">
        <x:v>Low</x:v>
      </x:c>
      <x:c r="E45" s="120"/>
      <x:c r="F45" s="96" t="str">
        <x:v>Engine model</x:v>
      </x:c>
      <x:c r="G45" s="96" t="str">
        <x:v>Commercial</x:v>
      </x:c>
      <x:c r="H45" s="98" t="str">
        <x:v>P3</x:v>
      </x:c>
      <x:c r="I45" s="96" t="str">
        <x:v>MTU 4000 series page</x:v>
      </x:c>
      <x:c r="J45" s="96" t="str">
        <x:v>https://keywordseverywhere.com/tools/search-volume-checker/</x:v>
      </x:c>
      <x:c r="K45" s="96" t="str">
        <x:v>KE reports 0; retain only with GSC, customer, or part-number evidence</x:v>
      </x:c>
      <x:c r="L45" s="96" t="n">
        <x:f>RANK(B45,$B$5:$B$93,0)+COUNTIF($B$5:B45,B45)-1</x:f>
        <x:v>66</x:v>
      </x:c>
    </x:row>
    <x:row r="46">
      <x:c r="A46" s="118" t="str">
        <x:v>mtu 12v396 parts</x:v>
      </x:c>
      <x:c r="B46" s="97" t="n">
        <x:v>0</x:v>
      </x:c>
      <x:c r="C46" s="119" t="n">
        <x:v>0</x:v>
      </x:c>
      <x:c r="D46" s="96" t="str">
        <x:v>Low</x:v>
      </x:c>
      <x:c r="E46" s="120"/>
      <x:c r="F46" s="96" t="str">
        <x:v>Engine model</x:v>
      </x:c>
      <x:c r="G46" s="96" t="str">
        <x:v>Commercial</x:v>
      </x:c>
      <x:c r="H46" s="98" t="str">
        <x:v>P3</x:v>
      </x:c>
      <x:c r="I46" s="96" t="str">
        <x:v>MTU 396 series page</x:v>
      </x:c>
      <x:c r="J46" s="96" t="str">
        <x:v>https://keywordseverywhere.com/tools/search-volume-checker/</x:v>
      </x:c>
      <x:c r="K46" s="96" t="str">
        <x:v>KE reports 0; retain only with GSC, customer, or part-number evidence</x:v>
      </x:c>
      <x:c r="L46" s="96" t="n">
        <x:f>RANK(B46,$B$5:$B$93,0)+COUNTIF($B$5:B46,B46)-1</x:f>
        <x:v>67</x:v>
      </x:c>
    </x:row>
    <x:row r="47">
      <x:c r="A47" s="118" t="str">
        <x:v>mtu 16v396 parts</x:v>
      </x:c>
      <x:c r="B47" s="97" t="n">
        <x:v>0</x:v>
      </x:c>
      <x:c r="C47" s="119" t="n">
        <x:v>0</x:v>
      </x:c>
      <x:c r="D47" s="96" t="str">
        <x:v>Low</x:v>
      </x:c>
      <x:c r="E47" s="120"/>
      <x:c r="F47" s="96" t="str">
        <x:v>Engine model</x:v>
      </x:c>
      <x:c r="G47" s="96" t="str">
        <x:v>Commercial</x:v>
      </x:c>
      <x:c r="H47" s="98" t="str">
        <x:v>P3</x:v>
      </x:c>
      <x:c r="I47" s="96" t="str">
        <x:v>MTU 396 series page</x:v>
      </x:c>
      <x:c r="J47" s="96" t="str">
        <x:v>https://keywordseverywhere.com/tools/search-volume-checker/</x:v>
      </x:c>
      <x:c r="K47" s="96" t="str">
        <x:v>KE reports 0; retain only with GSC, customer, or part-number evidence</x:v>
      </x:c>
      <x:c r="L47" s="96" t="n">
        <x:f>RANK(B47,$B$5:$B$93,0)+COUNTIF($B$5:B47,B47)-1</x:f>
        <x:v>68</x:v>
      </x:c>
    </x:row>
    <x:row r="48">
      <x:c r="A48" s="118" t="str">
        <x:v>mtu 16v 2000</x:v>
      </x:c>
      <x:c r="B48" s="97" t="n">
        <x:v>110</x:v>
      </x:c>
      <x:c r="C48" s="119" t="n">
        <x:v>0</x:v>
      </x:c>
      <x:c r="D48" s="96" t="str">
        <x:v>Low</x:v>
      </x:c>
      <x:c r="E48" s="120" t="n">
        <x:v>0.06</x:v>
      </x:c>
      <x:c r="F48" s="96" t="str">
        <x:v>Engine model</x:v>
      </x:c>
      <x:c r="G48" s="96" t="str">
        <x:v>Informational</x:v>
      </x:c>
      <x:c r="H48" s="98" t="str">
        <x:v>P2</x:v>
      </x:c>
      <x:c r="I48" s="96" t="str">
        <x:v>MTU 2000 series page</x:v>
      </x:c>
      <x:c r="J48" s="96" t="str">
        <x:v>https://keywordseverywhere.com/tools/search-volume-checker/</x:v>
      </x:c>
      <x:c r="K48" s="96" t="str">
        <x:v>Validated US demand</x:v>
      </x:c>
      <x:c r="L48" s="96" t="n">
        <x:f>RANK(B48,$B$5:$B$93,0)+COUNTIF($B$5:B48,B48)-1</x:f>
        <x:v>5</x:v>
      </x:c>
    </x:row>
    <x:row r="49">
      <x:c r="A49" s="118" t="str">
        <x:v>mtu 16v 4000</x:v>
      </x:c>
      <x:c r="B49" s="97" t="n">
        <x:v>90</x:v>
      </x:c>
      <x:c r="C49" s="119" t="n">
        <x:v>0</x:v>
      </x:c>
      <x:c r="D49" s="96" t="str">
        <x:v>Low</x:v>
      </x:c>
      <x:c r="E49" s="120" t="n">
        <x:v>-0.19</x:v>
      </x:c>
      <x:c r="F49" s="96" t="str">
        <x:v>Engine model</x:v>
      </x:c>
      <x:c r="G49" s="96" t="str">
        <x:v>Informational</x:v>
      </x:c>
      <x:c r="H49" s="98" t="str">
        <x:v>P2</x:v>
      </x:c>
      <x:c r="I49" s="96" t="str">
        <x:v>MTU 4000 series page</x:v>
      </x:c>
      <x:c r="J49" s="96" t="str">
        <x:v>https://keywordseverywhere.com/tools/search-volume-checker/</x:v>
      </x:c>
      <x:c r="K49" s="96" t="str">
        <x:v>Validated US demand</x:v>
      </x:c>
      <x:c r="L49" s="96" t="n">
        <x:f>RANK(B49,$B$5:$B$93,0)+COUNTIF($B$5:B49,B49)-1</x:f>
        <x:v>6</x:v>
      </x:c>
    </x:row>
    <x:row r="50">
      <x:c r="A50" s="118" t="str">
        <x:v>mtu 12v 4000</x:v>
      </x:c>
      <x:c r="B50" s="97" t="n">
        <x:v>50</x:v>
      </x:c>
      <x:c r="C50" s="119" t="n">
        <x:v>0</x:v>
      </x:c>
      <x:c r="D50" s="96" t="str">
        <x:v>Low</x:v>
      </x:c>
      <x:c r="E50" s="120" t="n">
        <x:v>0</x:v>
      </x:c>
      <x:c r="F50" s="96" t="str">
        <x:v>Engine model</x:v>
      </x:c>
      <x:c r="G50" s="96" t="str">
        <x:v>Informational</x:v>
      </x:c>
      <x:c r="H50" s="98" t="str">
        <x:v>P2</x:v>
      </x:c>
      <x:c r="I50" s="96" t="str">
        <x:v>MTU 4000 series page</x:v>
      </x:c>
      <x:c r="J50" s="96" t="str">
        <x:v>https://keywordseverywhere.com/tools/search-volume-checker/</x:v>
      </x:c>
      <x:c r="K50" s="96" t="str">
        <x:v>Validated US demand</x:v>
      </x:c>
      <x:c r="L50" s="96" t="n">
        <x:f>RANK(B50,$B$5:$B$93,0)+COUNTIF($B$5:B50,B50)-1</x:f>
        <x:v>9</x:v>
      </x:c>
    </x:row>
    <x:row r="51">
      <x:c r="A51" s="118" t="str">
        <x:v>mtu fuel injector</x:v>
      </x:c>
      <x:c r="B51" s="97" t="n">
        <x:v>0</x:v>
      </x:c>
      <x:c r="C51" s="119" t="n">
        <x:v>0</x:v>
      </x:c>
      <x:c r="D51" s="96" t="str">
        <x:v>Low</x:v>
      </x:c>
      <x:c r="E51" s="120"/>
      <x:c r="F51" s="96" t="str">
        <x:v>Component</x:v>
      </x:c>
      <x:c r="G51" s="96" t="str">
        <x:v>Commercial</x:v>
      </x:c>
      <x:c r="H51" s="98" t="str">
        <x:v>P3</x:v>
      </x:c>
      <x:c r="I51" s="96" t="str">
        <x:v>Component category / related product pages</x:v>
      </x:c>
      <x:c r="J51" s="96" t="str">
        <x:v>https://keywordseverywhere.com/tools/search-volume-checker/</x:v>
      </x:c>
      <x:c r="K51" s="96" t="str">
        <x:v>KE reports 0; retain only with GSC, customer, or part-number evidence</x:v>
      </x:c>
      <x:c r="L51" s="96" t="n">
        <x:f>RANK(B51,$B$5:$B$93,0)+COUNTIF($B$5:B51,B51)-1</x:f>
        <x:v>69</x:v>
      </x:c>
    </x:row>
    <x:row r="52">
      <x:c r="A52" s="118" t="str">
        <x:v>mtu injectors</x:v>
      </x:c>
      <x:c r="B52" s="97" t="n">
        <x:v>10</x:v>
      </x:c>
      <x:c r="C52" s="119" t="n">
        <x:v>0</x:v>
      </x:c>
      <x:c r="D52" s="96" t="str">
        <x:v>High</x:v>
      </x:c>
      <x:c r="E52" s="120" t="n">
        <x:v>-0.27</x:v>
      </x:c>
      <x:c r="F52" s="96" t="str">
        <x:v>Component</x:v>
      </x:c>
      <x:c r="G52" s="96" t="str">
        <x:v>Commercial</x:v>
      </x:c>
      <x:c r="H52" s="98" t="str">
        <x:v>P2</x:v>
      </x:c>
      <x:c r="I52" s="96" t="str">
        <x:v>Component category / related product pages</x:v>
      </x:c>
      <x:c r="J52" s="96" t="str">
        <x:v>https://keywordseverywhere.com/tools/search-volume-checker/</x:v>
      </x:c>
      <x:c r="K52" s="96" t="str">
        <x:v>Validated US demand</x:v>
      </x:c>
      <x:c r="L52" s="96" t="n">
        <x:f>RANK(B52,$B$5:$B$93,0)+COUNTIF($B$5:B52,B52)-1</x:f>
        <x:v>27</x:v>
      </x:c>
    </x:row>
    <x:row r="53">
      <x:c r="A53" s="118" t="str">
        <x:v>mtu injection pump</x:v>
      </x:c>
      <x:c r="B53" s="97" t="n">
        <x:v>0</x:v>
      </x:c>
      <x:c r="C53" s="119" t="n">
        <x:v>0</x:v>
      </x:c>
      <x:c r="D53" s="96" t="str">
        <x:v>Low</x:v>
      </x:c>
      <x:c r="E53" s="120"/>
      <x:c r="F53" s="96" t="str">
        <x:v>Component</x:v>
      </x:c>
      <x:c r="G53" s="96" t="str">
        <x:v>Commercial</x:v>
      </x:c>
      <x:c r="H53" s="98" t="str">
        <x:v>P3</x:v>
      </x:c>
      <x:c r="I53" s="96" t="str">
        <x:v>Component category / related product pages</x:v>
      </x:c>
      <x:c r="J53" s="96" t="str">
        <x:v>https://keywordseverywhere.com/tools/search-volume-checker/</x:v>
      </x:c>
      <x:c r="K53" s="96" t="str">
        <x:v>KE reports 0; retain only with GSC, customer, or part-number evidence</x:v>
      </x:c>
      <x:c r="L53" s="96" t="n">
        <x:f>RANK(B53,$B$5:$B$93,0)+COUNTIF($B$5:B53,B53)-1</x:f>
        <x:v>70</x:v>
      </x:c>
    </x:row>
    <x:row r="54">
      <x:c r="A54" s="118" t="str">
        <x:v>mtu fuel pump</x:v>
      </x:c>
      <x:c r="B54" s="97" t="n">
        <x:v>10</x:v>
      </x:c>
      <x:c r="C54" s="119" t="n">
        <x:v>0</x:v>
      </x:c>
      <x:c r="D54" s="96" t="str">
        <x:v>Low</x:v>
      </x:c>
      <x:c r="E54" s="120" t="n">
        <x:v>0.22</x:v>
      </x:c>
      <x:c r="F54" s="96" t="str">
        <x:v>Component</x:v>
      </x:c>
      <x:c r="G54" s="96" t="str">
        <x:v>Commercial</x:v>
      </x:c>
      <x:c r="H54" s="98" t="str">
        <x:v>P2</x:v>
      </x:c>
      <x:c r="I54" s="96" t="str">
        <x:v>Component category / related product pages</x:v>
      </x:c>
      <x:c r="J54" s="96" t="str">
        <x:v>https://keywordseverywhere.com/tools/search-volume-checker/</x:v>
      </x:c>
      <x:c r="K54" s="96" t="str">
        <x:v>Validated US demand</x:v>
      </x:c>
      <x:c r="L54" s="96" t="n">
        <x:f>RANK(B54,$B$5:$B$93,0)+COUNTIF($B$5:B54,B54)-1</x:f>
        <x:v>28</x:v>
      </x:c>
    </x:row>
    <x:row r="55">
      <x:c r="A55" s="118" t="str">
        <x:v>mtu water pump</x:v>
      </x:c>
      <x:c r="B55" s="97" t="n">
        <x:v>0</x:v>
      </x:c>
      <x:c r="C55" s="119" t="n">
        <x:v>0</x:v>
      </x:c>
      <x:c r="D55" s="96" t="str">
        <x:v>Low</x:v>
      </x:c>
      <x:c r="E55" s="120"/>
      <x:c r="F55" s="96" t="str">
        <x:v>Component</x:v>
      </x:c>
      <x:c r="G55" s="96" t="str">
        <x:v>Commercial</x:v>
      </x:c>
      <x:c r="H55" s="98" t="str">
        <x:v>P3</x:v>
      </x:c>
      <x:c r="I55" s="96" t="str">
        <x:v>Component category / related product pages</x:v>
      </x:c>
      <x:c r="J55" s="96" t="str">
        <x:v>https://keywordseverywhere.com/tools/search-volume-checker/</x:v>
      </x:c>
      <x:c r="K55" s="96" t="str">
        <x:v>KE reports 0; retain only with GSC, customer, or part-number evidence</x:v>
      </x:c>
      <x:c r="L55" s="96" t="n">
        <x:f>RANK(B55,$B$5:$B$93,0)+COUNTIF($B$5:B55,B55)-1</x:f>
        <x:v>71</x:v>
      </x:c>
    </x:row>
    <x:row r="56">
      <x:c r="A56" s="118" t="str">
        <x:v>mtu oil pump</x:v>
      </x:c>
      <x:c r="B56" s="97" t="n">
        <x:v>0</x:v>
      </x:c>
      <x:c r="C56" s="119" t="n">
        <x:v>0</x:v>
      </x:c>
      <x:c r="D56" s="96" t="str">
        <x:v>Low</x:v>
      </x:c>
      <x:c r="E56" s="120"/>
      <x:c r="F56" s="96" t="str">
        <x:v>Component</x:v>
      </x:c>
      <x:c r="G56" s="96" t="str">
        <x:v>Commercial</x:v>
      </x:c>
      <x:c r="H56" s="98" t="str">
        <x:v>P3</x:v>
      </x:c>
      <x:c r="I56" s="96" t="str">
        <x:v>Component category / related product pages</x:v>
      </x:c>
      <x:c r="J56" s="96" t="str">
        <x:v>https://keywordseverywhere.com/tools/search-volume-checker/</x:v>
      </x:c>
      <x:c r="K56" s="96" t="str">
        <x:v>KE reports 0; retain only with GSC, customer, or part-number evidence</x:v>
      </x:c>
      <x:c r="L56" s="96" t="n">
        <x:f>RANK(B56,$B$5:$B$93,0)+COUNTIF($B$5:B56,B56)-1</x:f>
        <x:v>72</x:v>
      </x:c>
    </x:row>
    <x:row r="57">
      <x:c r="A57" s="118" t="str">
        <x:v>mtu turbocharger</x:v>
      </x:c>
      <x:c r="B57" s="97" t="n">
        <x:v>10</x:v>
      </x:c>
      <x:c r="C57" s="119" t="n">
        <x:v>0</x:v>
      </x:c>
      <x:c r="D57" s="96" t="str">
        <x:v>High</x:v>
      </x:c>
      <x:c r="E57" s="120" t="n">
        <x:v>0.1</x:v>
      </x:c>
      <x:c r="F57" s="96" t="str">
        <x:v>Component</x:v>
      </x:c>
      <x:c r="G57" s="96" t="str">
        <x:v>Commercial</x:v>
      </x:c>
      <x:c r="H57" s="98" t="str">
        <x:v>P2</x:v>
      </x:c>
      <x:c r="I57" s="96" t="str">
        <x:v>Component category / related product pages</x:v>
      </x:c>
      <x:c r="J57" s="96" t="str">
        <x:v>https://keywordseverywhere.com/tools/search-volume-checker/</x:v>
      </x:c>
      <x:c r="K57" s="96" t="str">
        <x:v>Validated US demand</x:v>
      </x:c>
      <x:c r="L57" s="96" t="n">
        <x:f>RANK(B57,$B$5:$B$93,0)+COUNTIF($B$5:B57,B57)-1</x:f>
        <x:v>29</x:v>
      </x:c>
    </x:row>
    <x:row r="58">
      <x:c r="A58" s="118" t="str">
        <x:v>mtu turbo</x:v>
      </x:c>
      <x:c r="B58" s="97" t="n">
        <x:v>10</x:v>
      </x:c>
      <x:c r="C58" s="119" t="n">
        <x:v>0</x:v>
      </x:c>
      <x:c r="D58" s="96" t="str">
        <x:v>Low</x:v>
      </x:c>
      <x:c r="E58" s="120" t="n">
        <x:v>0.1</x:v>
      </x:c>
      <x:c r="F58" s="96" t="str">
        <x:v>Component</x:v>
      </x:c>
      <x:c r="G58" s="96" t="str">
        <x:v>Commercial</x:v>
      </x:c>
      <x:c r="H58" s="98" t="str">
        <x:v>P2</x:v>
      </x:c>
      <x:c r="I58" s="96" t="str">
        <x:v>Component category / related product pages</x:v>
      </x:c>
      <x:c r="J58" s="96" t="str">
        <x:v>https://keywordseverywhere.com/tools/search-volume-checker/</x:v>
      </x:c>
      <x:c r="K58" s="96" t="str">
        <x:v>Validated US demand</x:v>
      </x:c>
      <x:c r="L58" s="96" t="n">
        <x:f>RANK(B58,$B$5:$B$93,0)+COUNTIF($B$5:B58,B58)-1</x:f>
        <x:v>30</x:v>
      </x:c>
    </x:row>
    <x:row r="59">
      <x:c r="A59" s="118" t="str">
        <x:v>mtu gasket kit</x:v>
      </x:c>
      <x:c r="B59" s="97" t="n">
        <x:v>0</x:v>
      </x:c>
      <x:c r="C59" s="119" t="n">
        <x:v>0</x:v>
      </x:c>
      <x:c r="D59" s="96" t="str">
        <x:v>Low</x:v>
      </x:c>
      <x:c r="E59" s="120"/>
      <x:c r="F59" s="96" t="str">
        <x:v>Component</x:v>
      </x:c>
      <x:c r="G59" s="96" t="str">
        <x:v>Commercial</x:v>
      </x:c>
      <x:c r="H59" s="98" t="str">
        <x:v>P3</x:v>
      </x:c>
      <x:c r="I59" s="96" t="str">
        <x:v>Component category / related product pages</x:v>
      </x:c>
      <x:c r="J59" s="96" t="str">
        <x:v>https://keywordseverywhere.com/tools/search-volume-checker/</x:v>
      </x:c>
      <x:c r="K59" s="96" t="str">
        <x:v>KE reports 0; retain only with GSC, customer, or part-number evidence</x:v>
      </x:c>
      <x:c r="L59" s="96" t="n">
        <x:f>RANK(B59,$B$5:$B$93,0)+COUNTIF($B$5:B59,B59)-1</x:f>
        <x:v>73</x:v>
      </x:c>
    </x:row>
    <x:row r="60">
      <x:c r="A60" s="118" t="str">
        <x:v>mtu gasket</x:v>
      </x:c>
      <x:c r="B60" s="97" t="n">
        <x:v>0</x:v>
      </x:c>
      <x:c r="C60" s="119" t="n">
        <x:v>0</x:v>
      </x:c>
      <x:c r="D60" s="96" t="str">
        <x:v>Low</x:v>
      </x:c>
      <x:c r="E60" s="120"/>
      <x:c r="F60" s="96" t="str">
        <x:v>Component</x:v>
      </x:c>
      <x:c r="G60" s="96" t="str">
        <x:v>Commercial</x:v>
      </x:c>
      <x:c r="H60" s="98" t="str">
        <x:v>P3</x:v>
      </x:c>
      <x:c r="I60" s="96" t="str">
        <x:v>Component category / related product pages</x:v>
      </x:c>
      <x:c r="J60" s="96" t="str">
        <x:v>https://keywordseverywhere.com/tools/search-volume-checker/</x:v>
      </x:c>
      <x:c r="K60" s="96" t="str">
        <x:v>KE reports 0; retain only with GSC, customer, or part-number evidence</x:v>
      </x:c>
      <x:c r="L60" s="96" t="n">
        <x:f>RANK(B60,$B$5:$B$93,0)+COUNTIF($B$5:B60,B60)-1</x:f>
        <x:v>74</x:v>
      </x:c>
    </x:row>
    <x:row r="61">
      <x:c r="A61" s="118" t="str">
        <x:v>mtu oil filter</x:v>
      </x:c>
      <x:c r="B61" s="97" t="n">
        <x:v>10</x:v>
      </x:c>
      <x:c r="C61" s="119" t="n">
        <x:v>0</x:v>
      </x:c>
      <x:c r="D61" s="96" t="str">
        <x:v>High</x:v>
      </x:c>
      <x:c r="E61" s="120" t="n">
        <x:v>-0.08</x:v>
      </x:c>
      <x:c r="F61" s="96" t="str">
        <x:v>Component</x:v>
      </x:c>
      <x:c r="G61" s="96" t="str">
        <x:v>Commercial</x:v>
      </x:c>
      <x:c r="H61" s="98" t="str">
        <x:v>P2</x:v>
      </x:c>
      <x:c r="I61" s="96" t="str">
        <x:v>Component category / related product pages</x:v>
      </x:c>
      <x:c r="J61" s="96" t="str">
        <x:v>https://keywordseverywhere.com/tools/search-volume-checker/</x:v>
      </x:c>
      <x:c r="K61" s="96" t="str">
        <x:v>Validated US demand</x:v>
      </x:c>
      <x:c r="L61" s="96" t="n">
        <x:f>RANK(B61,$B$5:$B$93,0)+COUNTIF($B$5:B61,B61)-1</x:f>
        <x:v>31</x:v>
      </x:c>
    </x:row>
    <x:row r="62">
      <x:c r="A62" s="118" t="str">
        <x:v>mtu fuel filter</x:v>
      </x:c>
      <x:c r="B62" s="97" t="n">
        <x:v>10</x:v>
      </x:c>
      <x:c r="C62" s="119" t="n">
        <x:v>0</x:v>
      </x:c>
      <x:c r="D62" s="96" t="str">
        <x:v>Medium</x:v>
      </x:c>
      <x:c r="E62" s="120" t="n">
        <x:v>0</x:v>
      </x:c>
      <x:c r="F62" s="96" t="str">
        <x:v>Component</x:v>
      </x:c>
      <x:c r="G62" s="96" t="str">
        <x:v>Commercial</x:v>
      </x:c>
      <x:c r="H62" s="98" t="str">
        <x:v>P2</x:v>
      </x:c>
      <x:c r="I62" s="96" t="str">
        <x:v>Component category / related product pages</x:v>
      </x:c>
      <x:c r="J62" s="96" t="str">
        <x:v>https://keywordseverywhere.com/tools/search-volume-checker/</x:v>
      </x:c>
      <x:c r="K62" s="96" t="str">
        <x:v>Validated US demand</x:v>
      </x:c>
      <x:c r="L62" s="96" t="n">
        <x:f>RANK(B62,$B$5:$B$93,0)+COUNTIF($B$5:B62,B62)-1</x:f>
        <x:v>32</x:v>
      </x:c>
    </x:row>
    <x:row r="63">
      <x:c r="A63" s="118" t="str">
        <x:v>mtu air filter</x:v>
      </x:c>
      <x:c r="B63" s="97" t="n">
        <x:v>10</x:v>
      </x:c>
      <x:c r="C63" s="119" t="n">
        <x:v>0</x:v>
      </x:c>
      <x:c r="D63" s="96" t="str">
        <x:v>Medium</x:v>
      </x:c>
      <x:c r="E63" s="120" t="n">
        <x:v>0.1</x:v>
      </x:c>
      <x:c r="F63" s="96" t="str">
        <x:v>Component</x:v>
      </x:c>
      <x:c r="G63" s="96" t="str">
        <x:v>Commercial</x:v>
      </x:c>
      <x:c r="H63" s="98" t="str">
        <x:v>P2</x:v>
      </x:c>
      <x:c r="I63" s="96" t="str">
        <x:v>Component category / related product pages</x:v>
      </x:c>
      <x:c r="J63" s="96" t="str">
        <x:v>https://keywordseverywhere.com/tools/search-volume-checker/</x:v>
      </x:c>
      <x:c r="K63" s="96" t="str">
        <x:v>Validated US demand</x:v>
      </x:c>
      <x:c r="L63" s="96" t="n">
        <x:f>RANK(B63,$B$5:$B$93,0)+COUNTIF($B$5:B63,B63)-1</x:f>
        <x:v>33</x:v>
      </x:c>
    </x:row>
    <x:row r="64">
      <x:c r="A64" s="118" t="str">
        <x:v>mtu engine filters</x:v>
      </x:c>
      <x:c r="B64" s="97" t="n">
        <x:v>0</x:v>
      </x:c>
      <x:c r="C64" s="119" t="n">
        <x:v>0</x:v>
      </x:c>
      <x:c r="D64" s="96" t="str">
        <x:v>Low</x:v>
      </x:c>
      <x:c r="E64" s="120"/>
      <x:c r="F64" s="96" t="str">
        <x:v>Component</x:v>
      </x:c>
      <x:c r="G64" s="96" t="str">
        <x:v>Commercial</x:v>
      </x:c>
      <x:c r="H64" s="98" t="str">
        <x:v>P3</x:v>
      </x:c>
      <x:c r="I64" s="96" t="str">
        <x:v>Component category / related product pages</x:v>
      </x:c>
      <x:c r="J64" s="96" t="str">
        <x:v>https://keywordseverywhere.com/tools/search-volume-checker/</x:v>
      </x:c>
      <x:c r="K64" s="96" t="str">
        <x:v>KE reports 0; retain only with GSC, customer, or part-number evidence</x:v>
      </x:c>
      <x:c r="L64" s="96" t="n">
        <x:f>RANK(B64,$B$5:$B$93,0)+COUNTIF($B$5:B64,B64)-1</x:f>
        <x:v>75</x:v>
      </x:c>
    </x:row>
    <x:row r="65">
      <x:c r="A65" s="118" t="str">
        <x:v>mtu cylinder head</x:v>
      </x:c>
      <x:c r="B65" s="97" t="n">
        <x:v>0</x:v>
      </x:c>
      <x:c r="C65" s="119" t="n">
        <x:v>0</x:v>
      </x:c>
      <x:c r="D65" s="96" t="str">
        <x:v>Low</x:v>
      </x:c>
      <x:c r="E65" s="120"/>
      <x:c r="F65" s="96" t="str">
        <x:v>Brand / engine</x:v>
      </x:c>
      <x:c r="G65" s="96" t="str">
        <x:v>Informational</x:v>
      </x:c>
      <x:c r="H65" s="98" t="str">
        <x:v>P3</x:v>
      </x:c>
      <x:c r="I65" s="96" t="str">
        <x:v>Relevant engine-series page</x:v>
      </x:c>
      <x:c r="J65" s="96" t="str">
        <x:v>https://keywordseverywhere.com/tools/search-volume-checker/</x:v>
      </x:c>
      <x:c r="K65" s="96" t="str">
        <x:v>KE reports 0; retain only with GSC, customer, or part-number evidence</x:v>
      </x:c>
      <x:c r="L65" s="96" t="n">
        <x:f>RANK(B65,$B$5:$B$93,0)+COUNTIF($B$5:B65,B65)-1</x:f>
        <x:v>76</x:v>
      </x:c>
    </x:row>
    <x:row r="66">
      <x:c r="A66" s="118" t="str">
        <x:v>mtu piston</x:v>
      </x:c>
      <x:c r="B66" s="97" t="n">
        <x:v>10</x:v>
      </x:c>
      <x:c r="C66" s="119" t="n">
        <x:v>0</x:v>
      </x:c>
      <x:c r="D66" s="96" t="str">
        <x:v>Low</x:v>
      </x:c>
      <x:c r="E66" s="120" t="n">
        <x:v>0.57</x:v>
      </x:c>
      <x:c r="F66" s="96" t="str">
        <x:v>Component</x:v>
      </x:c>
      <x:c r="G66" s="96" t="str">
        <x:v>Commercial</x:v>
      </x:c>
      <x:c r="H66" s="98" t="str">
        <x:v>P2</x:v>
      </x:c>
      <x:c r="I66" s="96" t="str">
        <x:v>Component category / related product pages</x:v>
      </x:c>
      <x:c r="J66" s="96" t="str">
        <x:v>https://keywordseverywhere.com/tools/search-volume-checker/</x:v>
      </x:c>
      <x:c r="K66" s="96" t="str">
        <x:v>Validated US demand</x:v>
      </x:c>
      <x:c r="L66" s="96" t="n">
        <x:f>RANK(B66,$B$5:$B$93,0)+COUNTIF($B$5:B66,B66)-1</x:f>
        <x:v>34</x:v>
      </x:c>
    </x:row>
    <x:row r="67">
      <x:c r="A67" s="118" t="str">
        <x:v>mtu piston rings</x:v>
      </x:c>
      <x:c r="B67" s="97" t="n">
        <x:v>0</x:v>
      </x:c>
      <x:c r="C67" s="119" t="n">
        <x:v>0</x:v>
      </x:c>
      <x:c r="D67" s="96" t="str">
        <x:v>Low</x:v>
      </x:c>
      <x:c r="E67" s="120"/>
      <x:c r="F67" s="96" t="str">
        <x:v>Component</x:v>
      </x:c>
      <x:c r="G67" s="96" t="str">
        <x:v>Commercial</x:v>
      </x:c>
      <x:c r="H67" s="98" t="str">
        <x:v>P3</x:v>
      </x:c>
      <x:c r="I67" s="96" t="str">
        <x:v>Component category / related product pages</x:v>
      </x:c>
      <x:c r="J67" s="96" t="str">
        <x:v>https://keywordseverywhere.com/tools/search-volume-checker/</x:v>
      </x:c>
      <x:c r="K67" s="96" t="str">
        <x:v>KE reports 0; retain only with GSC, customer, or part-number evidence</x:v>
      </x:c>
      <x:c r="L67" s="96" t="n">
        <x:f>RANK(B67,$B$5:$B$93,0)+COUNTIF($B$5:B67,B67)-1</x:f>
        <x:v>77</x:v>
      </x:c>
    </x:row>
    <x:row r="68">
      <x:c r="A68" s="118" t="str">
        <x:v>mtu cylinder liner</x:v>
      </x:c>
      <x:c r="B68" s="97" t="n">
        <x:v>0</x:v>
      </x:c>
      <x:c r="C68" s="119" t="n">
        <x:v>0</x:v>
      </x:c>
      <x:c r="D68" s="96" t="str">
        <x:v>Low</x:v>
      </x:c>
      <x:c r="E68" s="120"/>
      <x:c r="F68" s="96" t="str">
        <x:v>Component</x:v>
      </x:c>
      <x:c r="G68" s="96" t="str">
        <x:v>Commercial</x:v>
      </x:c>
      <x:c r="H68" s="98" t="str">
        <x:v>P3</x:v>
      </x:c>
      <x:c r="I68" s="96" t="str">
        <x:v>Component category / related product pages</x:v>
      </x:c>
      <x:c r="J68" s="96" t="str">
        <x:v>https://keywordseverywhere.com/tools/search-volume-checker/</x:v>
      </x:c>
      <x:c r="K68" s="96" t="str">
        <x:v>KE reports 0; retain only with GSC, customer, or part-number evidence</x:v>
      </x:c>
      <x:c r="L68" s="96" t="n">
        <x:f>RANK(B68,$B$5:$B$93,0)+COUNTIF($B$5:B68,B68)-1</x:f>
        <x:v>78</x:v>
      </x:c>
    </x:row>
    <x:row r="69">
      <x:c r="A69" s="118" t="str">
        <x:v>mtu connecting rod</x:v>
      </x:c>
      <x:c r="B69" s="97" t="n">
        <x:v>0</x:v>
      </x:c>
      <x:c r="C69" s="119" t="n">
        <x:v>0</x:v>
      </x:c>
      <x:c r="D69" s="96" t="str">
        <x:v>Low</x:v>
      </x:c>
      <x:c r="E69" s="120"/>
      <x:c r="F69" s="96" t="str">
        <x:v>Component</x:v>
      </x:c>
      <x:c r="G69" s="96" t="str">
        <x:v>Commercial</x:v>
      </x:c>
      <x:c r="H69" s="98" t="str">
        <x:v>P3</x:v>
      </x:c>
      <x:c r="I69" s="96" t="str">
        <x:v>Component category / related product pages</x:v>
      </x:c>
      <x:c r="J69" s="96" t="str">
        <x:v>https://keywordseverywhere.com/tools/search-volume-checker/</x:v>
      </x:c>
      <x:c r="K69" s="96" t="str">
        <x:v>KE reports 0; retain only with GSC, customer, or part-number evidence</x:v>
      </x:c>
      <x:c r="L69" s="96" t="n">
        <x:f>RANK(B69,$B$5:$B$93,0)+COUNTIF($B$5:B69,B69)-1</x:f>
        <x:v>79</x:v>
      </x:c>
    </x:row>
    <x:row r="70">
      <x:c r="A70" s="118" t="str">
        <x:v>mtu crankshaft</x:v>
      </x:c>
      <x:c r="B70" s="97" t="n">
        <x:v>0</x:v>
      </x:c>
      <x:c r="C70" s="119" t="n">
        <x:v>0</x:v>
      </x:c>
      <x:c r="D70" s="96" t="str">
        <x:v>Low</x:v>
      </x:c>
      <x:c r="E70" s="120"/>
      <x:c r="F70" s="96" t="str">
        <x:v>Component</x:v>
      </x:c>
      <x:c r="G70" s="96" t="str">
        <x:v>Commercial</x:v>
      </x:c>
      <x:c r="H70" s="98" t="str">
        <x:v>P3</x:v>
      </x:c>
      <x:c r="I70" s="96" t="str">
        <x:v>Component category / related product pages</x:v>
      </x:c>
      <x:c r="J70" s="96" t="str">
        <x:v>https://keywordseverywhere.com/tools/search-volume-checker/</x:v>
      </x:c>
      <x:c r="K70" s="96" t="str">
        <x:v>KE reports 0; retain only with GSC, customer, or part-number evidence</x:v>
      </x:c>
      <x:c r="L70" s="96" t="n">
        <x:f>RANK(B70,$B$5:$B$93,0)+COUNTIF($B$5:B70,B70)-1</x:f>
        <x:v>80</x:v>
      </x:c>
    </x:row>
    <x:row r="71">
      <x:c r="A71" s="118" t="str">
        <x:v>mtu camshaft</x:v>
      </x:c>
      <x:c r="B71" s="97" t="n">
        <x:v>0</x:v>
      </x:c>
      <x:c r="C71" s="119" t="n">
        <x:v>0</x:v>
      </x:c>
      <x:c r="D71" s="96" t="str">
        <x:v>Low</x:v>
      </x:c>
      <x:c r="E71" s="120"/>
      <x:c r="F71" s="96" t="str">
        <x:v>Component</x:v>
      </x:c>
      <x:c r="G71" s="96" t="str">
        <x:v>Commercial</x:v>
      </x:c>
      <x:c r="H71" s="98" t="str">
        <x:v>P3</x:v>
      </x:c>
      <x:c r="I71" s="96" t="str">
        <x:v>Component category / related product pages</x:v>
      </x:c>
      <x:c r="J71" s="96" t="str">
        <x:v>https://keywordseverywhere.com/tools/search-volume-checker/</x:v>
      </x:c>
      <x:c r="K71" s="96" t="str">
        <x:v>KE reports 0; retain only with GSC, customer, or part-number evidence</x:v>
      </x:c>
      <x:c r="L71" s="96" t="n">
        <x:f>RANK(B71,$B$5:$B$93,0)+COUNTIF($B$5:B71,B71)-1</x:f>
        <x:v>81</x:v>
      </x:c>
    </x:row>
    <x:row r="72">
      <x:c r="A72" s="118" t="str">
        <x:v>mtu starter motor</x:v>
      </x:c>
      <x:c r="B72" s="97" t="n">
        <x:v>10</x:v>
      </x:c>
      <x:c r="C72" s="119" t="n">
        <x:v>0</x:v>
      </x:c>
      <x:c r="D72" s="96" t="str">
        <x:v>Low</x:v>
      </x:c>
      <x:c r="E72" s="120" t="n">
        <x:v>-1</x:v>
      </x:c>
      <x:c r="F72" s="96" t="str">
        <x:v>Component</x:v>
      </x:c>
      <x:c r="G72" s="96" t="str">
        <x:v>Commercial</x:v>
      </x:c>
      <x:c r="H72" s="98" t="str">
        <x:v>P2</x:v>
      </x:c>
      <x:c r="I72" s="96" t="str">
        <x:v>Component category / related product pages</x:v>
      </x:c>
      <x:c r="J72" s="96" t="str">
        <x:v>https://keywordseverywhere.com/tools/search-volume-checker/</x:v>
      </x:c>
      <x:c r="K72" s="96" t="str">
        <x:v>Validated US demand</x:v>
      </x:c>
      <x:c r="L72" s="96" t="n">
        <x:f>RANK(B72,$B$5:$B$93,0)+COUNTIF($B$5:B72,B72)-1</x:f>
        <x:v>35</x:v>
      </x:c>
    </x:row>
    <x:row r="73">
      <x:c r="A73" s="118" t="str">
        <x:v>mtu alternator</x:v>
      </x:c>
      <x:c r="B73" s="97" t="n">
        <x:v>10</x:v>
      </x:c>
      <x:c r="C73" s="119" t="n">
        <x:v>0</x:v>
      </x:c>
      <x:c r="D73" s="96" t="str">
        <x:v>Low</x:v>
      </x:c>
      <x:c r="E73" s="120" t="n">
        <x:v>-1</x:v>
      </x:c>
      <x:c r="F73" s="96" t="str">
        <x:v>Component</x:v>
      </x:c>
      <x:c r="G73" s="96" t="str">
        <x:v>Commercial</x:v>
      </x:c>
      <x:c r="H73" s="98" t="str">
        <x:v>P2</x:v>
      </x:c>
      <x:c r="I73" s="96" t="str">
        <x:v>Component category / related product pages</x:v>
      </x:c>
      <x:c r="J73" s="96" t="str">
        <x:v>https://keywordseverywhere.com/tools/search-volume-checker/</x:v>
      </x:c>
      <x:c r="K73" s="96" t="str">
        <x:v>Validated US demand</x:v>
      </x:c>
      <x:c r="L73" s="96" t="n">
        <x:f>RANK(B73,$B$5:$B$93,0)+COUNTIF($B$5:B73,B73)-1</x:f>
        <x:v>36</x:v>
      </x:c>
    </x:row>
    <x:row r="74">
      <x:c r="A74" s="118" t="str">
        <x:v>mtu engine sensor</x:v>
      </x:c>
      <x:c r="B74" s="97" t="n">
        <x:v>0</x:v>
      </x:c>
      <x:c r="C74" s="119" t="n">
        <x:v>0</x:v>
      </x:c>
      <x:c r="D74" s="96" t="str">
        <x:v>Low</x:v>
      </x:c>
      <x:c r="E74" s="120"/>
      <x:c r="F74" s="96" t="str">
        <x:v>Component</x:v>
      </x:c>
      <x:c r="G74" s="96" t="str">
        <x:v>Commercial</x:v>
      </x:c>
      <x:c r="H74" s="98" t="str">
        <x:v>P3</x:v>
      </x:c>
      <x:c r="I74" s="96" t="str">
        <x:v>Component category / related product pages</x:v>
      </x:c>
      <x:c r="J74" s="96" t="str">
        <x:v>https://keywordseverywhere.com/tools/search-volume-checker/</x:v>
      </x:c>
      <x:c r="K74" s="96" t="str">
        <x:v>KE reports 0; retain only with GSC, customer, or part-number evidence</x:v>
      </x:c>
      <x:c r="L74" s="96" t="n">
        <x:f>RANK(B74,$B$5:$B$93,0)+COUNTIF($B$5:B74,B74)-1</x:f>
        <x:v>82</x:v>
      </x:c>
    </x:row>
    <x:row r="75">
      <x:c r="A75" s="118" t="str">
        <x:v>mtu pressure sensor</x:v>
      </x:c>
      <x:c r="B75" s="97" t="n">
        <x:v>0</x:v>
      </x:c>
      <x:c r="C75" s="119" t="n">
        <x:v>0</x:v>
      </x:c>
      <x:c r="D75" s="96" t="str">
        <x:v>Low</x:v>
      </x:c>
      <x:c r="E75" s="120"/>
      <x:c r="F75" s="96" t="str">
        <x:v>Component</x:v>
      </x:c>
      <x:c r="G75" s="96" t="str">
        <x:v>Commercial</x:v>
      </x:c>
      <x:c r="H75" s="98" t="str">
        <x:v>P3</x:v>
      </x:c>
      <x:c r="I75" s="96" t="str">
        <x:v>Component category / related product pages</x:v>
      </x:c>
      <x:c r="J75" s="96" t="str">
        <x:v>https://keywordseverywhere.com/tools/search-volume-checker/</x:v>
      </x:c>
      <x:c r="K75" s="96" t="str">
        <x:v>KE reports 0; retain only with GSC, customer, or part-number evidence</x:v>
      </x:c>
      <x:c r="L75" s="96" t="n">
        <x:f>RANK(B75,$B$5:$B$93,0)+COUNTIF($B$5:B75,B75)-1</x:f>
        <x:v>83</x:v>
      </x:c>
    </x:row>
    <x:row r="76">
      <x:c r="A76" s="118" t="str">
        <x:v>mtu temperature sensor</x:v>
      </x:c>
      <x:c r="B76" s="97" t="n">
        <x:v>0</x:v>
      </x:c>
      <x:c r="C76" s="119" t="n">
        <x:v>0</x:v>
      </x:c>
      <x:c r="D76" s="96" t="str">
        <x:v>Low</x:v>
      </x:c>
      <x:c r="E76" s="120"/>
      <x:c r="F76" s="96" t="str">
        <x:v>Component</x:v>
      </x:c>
      <x:c r="G76" s="96" t="str">
        <x:v>Commercial</x:v>
      </x:c>
      <x:c r="H76" s="98" t="str">
        <x:v>P3</x:v>
      </x:c>
      <x:c r="I76" s="96" t="str">
        <x:v>Component category / related product pages</x:v>
      </x:c>
      <x:c r="J76" s="96" t="str">
        <x:v>https://keywordseverywhere.com/tools/search-volume-checker/</x:v>
      </x:c>
      <x:c r="K76" s="96" t="str">
        <x:v>KE reports 0; retain only with GSC, customer, or part-number evidence</x:v>
      </x:c>
      <x:c r="L76" s="96" t="n">
        <x:f>RANK(B76,$B$5:$B$93,0)+COUNTIF($B$5:B76,B76)-1</x:f>
        <x:v>84</x:v>
      </x:c>
    </x:row>
    <x:row r="77">
      <x:c r="A77" s="118" t="str">
        <x:v>mtu thermostat</x:v>
      </x:c>
      <x:c r="B77" s="97" t="n">
        <x:v>0</x:v>
      </x:c>
      <x:c r="C77" s="119" t="n">
        <x:v>0</x:v>
      </x:c>
      <x:c r="D77" s="96" t="str">
        <x:v>Low</x:v>
      </x:c>
      <x:c r="E77" s="120"/>
      <x:c r="F77" s="96" t="str">
        <x:v>Component</x:v>
      </x:c>
      <x:c r="G77" s="96" t="str">
        <x:v>Commercial</x:v>
      </x:c>
      <x:c r="H77" s="98" t="str">
        <x:v>P3</x:v>
      </x:c>
      <x:c r="I77" s="96" t="str">
        <x:v>Component category / related product pages</x:v>
      </x:c>
      <x:c r="J77" s="96" t="str">
        <x:v>https://keywordseverywhere.com/tools/search-volume-checker/</x:v>
      </x:c>
      <x:c r="K77" s="96" t="str">
        <x:v>KE reports 0; retain only with GSC, customer, or part-number evidence</x:v>
      </x:c>
      <x:c r="L77" s="96" t="n">
        <x:f>RANK(B77,$B$5:$B$93,0)+COUNTIF($B$5:B77,B77)-1</x:f>
        <x:v>85</x:v>
      </x:c>
    </x:row>
    <x:row r="78">
      <x:c r="A78" s="118" t="str">
        <x:v>mtu engine valves</x:v>
      </x:c>
      <x:c r="B78" s="97" t="n">
        <x:v>0</x:v>
      </x:c>
      <x:c r="C78" s="119" t="n">
        <x:v>0</x:v>
      </x:c>
      <x:c r="D78" s="96" t="str">
        <x:v>Low</x:v>
      </x:c>
      <x:c r="E78" s="120"/>
      <x:c r="F78" s="96" t="str">
        <x:v>Component</x:v>
      </x:c>
      <x:c r="G78" s="96" t="str">
        <x:v>Commercial</x:v>
      </x:c>
      <x:c r="H78" s="98" t="str">
        <x:v>P3</x:v>
      </x:c>
      <x:c r="I78" s="96" t="str">
        <x:v>Component category / related product pages</x:v>
      </x:c>
      <x:c r="J78" s="96" t="str">
        <x:v>https://keywordseverywhere.com/tools/search-volume-checker/</x:v>
      </x:c>
      <x:c r="K78" s="96" t="str">
        <x:v>KE reports 0; retain only with GSC, customer, or part-number evidence</x:v>
      </x:c>
      <x:c r="L78" s="96" t="n">
        <x:f>RANK(B78,$B$5:$B$93,0)+COUNTIF($B$5:B78,B78)-1</x:f>
        <x:v>86</x:v>
      </x:c>
    </x:row>
    <x:row r="79">
      <x:c r="A79" s="118" t="str">
        <x:v>mtu engine bearings</x:v>
      </x:c>
      <x:c r="B79" s="97" t="n">
        <x:v>0</x:v>
      </x:c>
      <x:c r="C79" s="119" t="n">
        <x:v>0</x:v>
      </x:c>
      <x:c r="D79" s="96" t="str">
        <x:v>Low</x:v>
      </x:c>
      <x:c r="E79" s="120"/>
      <x:c r="F79" s="96" t="str">
        <x:v>Component</x:v>
      </x:c>
      <x:c r="G79" s="96" t="str">
        <x:v>Commercial</x:v>
      </x:c>
      <x:c r="H79" s="98" t="str">
        <x:v>P3</x:v>
      </x:c>
      <x:c r="I79" s="96" t="str">
        <x:v>Component category / related product pages</x:v>
      </x:c>
      <x:c r="J79" s="96" t="str">
        <x:v>https://keywordseverywhere.com/tools/search-volume-checker/</x:v>
      </x:c>
      <x:c r="K79" s="96" t="str">
        <x:v>KE reports 0; retain only with GSC, customer, or part-number evidence</x:v>
      </x:c>
      <x:c r="L79" s="96" t="n">
        <x:f>RANK(B79,$B$5:$B$93,0)+COUNTIF($B$5:B79,B79)-1</x:f>
        <x:v>87</x:v>
      </x:c>
    </x:row>
    <x:row r="80">
      <x:c r="A80" s="118" t="str">
        <x:v>mtu seals</x:v>
      </x:c>
      <x:c r="B80" s="97" t="n">
        <x:v>10</x:v>
      </x:c>
      <x:c r="C80" s="119" t="n">
        <x:v>0</x:v>
      </x:c>
      <x:c r="D80" s="96" t="str">
        <x:v>Low</x:v>
      </x:c>
      <x:c r="E80" s="120" t="n">
        <x:v>0.1</x:v>
      </x:c>
      <x:c r="F80" s="96" t="str">
        <x:v>Component</x:v>
      </x:c>
      <x:c r="G80" s="96" t="str">
        <x:v>Commercial</x:v>
      </x:c>
      <x:c r="H80" s="98" t="str">
        <x:v>P2</x:v>
      </x:c>
      <x:c r="I80" s="96" t="str">
        <x:v>Component category / related product pages</x:v>
      </x:c>
      <x:c r="J80" s="96" t="str">
        <x:v>https://keywordseverywhere.com/tools/search-volume-checker/</x:v>
      </x:c>
      <x:c r="K80" s="96" t="str">
        <x:v>Validated US demand</x:v>
      </x:c>
      <x:c r="L80" s="96" t="n">
        <x:f>RANK(B80,$B$5:$B$93,0)+COUNTIF($B$5:B80,B80)-1</x:f>
        <x:v>37</x:v>
      </x:c>
    </x:row>
    <x:row r="81">
      <x:c r="A81" s="118" t="str">
        <x:v>mtu o rings</x:v>
      </x:c>
      <x:c r="B81" s="97" t="n">
        <x:v>0</x:v>
      </x:c>
      <x:c r="C81" s="119" t="n">
        <x:v>0</x:v>
      </x:c>
      <x:c r="D81" s="96" t="str">
        <x:v>Low</x:v>
      </x:c>
      <x:c r="E81" s="120"/>
      <x:c r="F81" s="96" t="str">
        <x:v>Component</x:v>
      </x:c>
      <x:c r="G81" s="96" t="str">
        <x:v>Informational</x:v>
      </x:c>
      <x:c r="H81" s="98" t="str">
        <x:v>P3</x:v>
      </x:c>
      <x:c r="I81" s="96" t="str">
        <x:v>Component category / related product pages</x:v>
      </x:c>
      <x:c r="J81" s="96" t="str">
        <x:v>https://keywordseverywhere.com/tools/search-volume-checker/</x:v>
      </x:c>
      <x:c r="K81" s="96" t="str">
        <x:v>KE reports 0; retain only with GSC, customer, or part-number evidence</x:v>
      </x:c>
      <x:c r="L81" s="96" t="n">
        <x:f>RANK(B81,$B$5:$B$93,0)+COUNTIF($B$5:B81,B81)-1</x:f>
        <x:v>88</x:v>
      </x:c>
    </x:row>
    <x:row r="82">
      <x:c r="A82" s="118" t="str">
        <x:v>mtu marine engines</x:v>
      </x:c>
      <x:c r="B82" s="97" t="n">
        <x:v>260</x:v>
      </x:c>
      <x:c r="C82" s="119" t="n">
        <x:v>1.34</x:v>
      </x:c>
      <x:c r="D82" s="96" t="str">
        <x:v>Low</x:v>
      </x:c>
      <x:c r="E82" s="120" t="n">
        <x:v>-0.05</x:v>
      </x:c>
      <x:c r="F82" s="96" t="str">
        <x:v>Marine application</x:v>
      </x:c>
      <x:c r="G82" s="96" t="str">
        <x:v>Informational</x:v>
      </x:c>
      <x:c r="H82" s="98" t="str">
        <x:v>P2</x:v>
      </x:c>
      <x:c r="I82" s="96" t="str">
        <x:v>Marine MTU parts landing page</x:v>
      </x:c>
      <x:c r="J82" s="96" t="str">
        <x:v>https://keywordseverywhere.com/tools/search-volume-checker/</x:v>
      </x:c>
      <x:c r="K82" s="96" t="str">
        <x:v>Validated US demand</x:v>
      </x:c>
      <x:c r="L82" s="96" t="n">
        <x:f>RANK(B82,$B$5:$B$93,0)+COUNTIF($B$5:B82,B82)-1</x:f>
        <x:v>2</x:v>
      </x:c>
    </x:row>
    <x:row r="83">
      <x:c r="A83" s="118" t="str">
        <x:v>mtu diesel marine engines</x:v>
      </x:c>
      <x:c r="B83" s="97" t="n">
        <x:v>260</x:v>
      </x:c>
      <x:c r="C83" s="119" t="n">
        <x:v>1.34</x:v>
      </x:c>
      <x:c r="D83" s="96" t="str">
        <x:v>Low</x:v>
      </x:c>
      <x:c r="E83" s="120" t="n">
        <x:v>-0.05</x:v>
      </x:c>
      <x:c r="F83" s="96" t="str">
        <x:v>Marine application</x:v>
      </x:c>
      <x:c r="G83" s="96" t="str">
        <x:v>Informational</x:v>
      </x:c>
      <x:c r="H83" s="98" t="str">
        <x:v>P2</x:v>
      </x:c>
      <x:c r="I83" s="96" t="str">
        <x:v>Marine MTU parts landing page</x:v>
      </x:c>
      <x:c r="J83" s="96" t="str">
        <x:v>https://keywordseverywhere.com/tools/search-volume-checker/</x:v>
      </x:c>
      <x:c r="K83" s="96" t="str">
        <x:v>Validated US demand</x:v>
      </x:c>
      <x:c r="L83" s="96" t="n">
        <x:f>RANK(B83,$B$5:$B$93,0)+COUNTIF($B$5:B83,B83)-1</x:f>
        <x:v>3</x:v>
      </x:c>
    </x:row>
    <x:row r="84">
      <x:c r="A84" s="118" t="str">
        <x:v>mtu diesel engines</x:v>
      </x:c>
      <x:c r="B84" s="97" t="n">
        <x:v>320</x:v>
      </x:c>
      <x:c r="C84" s="119" t="n">
        <x:v>1.15</x:v>
      </x:c>
      <x:c r="D84" s="96" t="str">
        <x:v>Low</x:v>
      </x:c>
      <x:c r="E84" s="120" t="n">
        <x:v>-0.17</x:v>
      </x:c>
      <x:c r="F84" s="96" t="str">
        <x:v>Brand / engine</x:v>
      </x:c>
      <x:c r="G84" s="96" t="str">
        <x:v>Informational</x:v>
      </x:c>
      <x:c r="H84" s="98" t="str">
        <x:v>P2</x:v>
      </x:c>
      <x:c r="I84" s="96" t="str">
        <x:v>Relevant engine-series page</x:v>
      </x:c>
      <x:c r="J84" s="96" t="str">
        <x:v>https://keywordseverywhere.com/tools/search-volume-checker/</x:v>
      </x:c>
      <x:c r="K84" s="96" t="str">
        <x:v>Validated US demand</x:v>
      </x:c>
      <x:c r="L84" s="96" t="n">
        <x:f>RANK(B84,$B$5:$B$93,0)+COUNTIF($B$5:B84,B84)-1</x:f>
        <x:v>1</x:v>
      </x:c>
    </x:row>
    <x:row r="85">
      <x:c r="A85" s="118" t="str">
        <x:v>mtu yacht engines</x:v>
      </x:c>
      <x:c r="B85" s="97" t="n">
        <x:v>50</x:v>
      </x:c>
      <x:c r="C85" s="119" t="n">
        <x:v>0</x:v>
      </x:c>
      <x:c r="D85" s="96" t="str">
        <x:v>Low</x:v>
      </x:c>
      <x:c r="E85" s="120" t="n">
        <x:v>0.04</x:v>
      </x:c>
      <x:c r="F85" s="96" t="str">
        <x:v>Marine application</x:v>
      </x:c>
      <x:c r="G85" s="96" t="str">
        <x:v>Informational</x:v>
      </x:c>
      <x:c r="H85" s="98" t="str">
        <x:v>P2</x:v>
      </x:c>
      <x:c r="I85" s="96" t="str">
        <x:v>Marine MTU parts landing page</x:v>
      </x:c>
      <x:c r="J85" s="96" t="str">
        <x:v>https://keywordseverywhere.com/tools/search-volume-checker/</x:v>
      </x:c>
      <x:c r="K85" s="96" t="str">
        <x:v>Validated US demand</x:v>
      </x:c>
      <x:c r="L85" s="96" t="n">
        <x:f>RANK(B85,$B$5:$B$93,0)+COUNTIF($B$5:B85,B85)-1</x:f>
        <x:v>10</x:v>
      </x:c>
    </x:row>
    <x:row r="86">
      <x:c r="A86" s="118" t="str">
        <x:v>mtu boat engines</x:v>
      </x:c>
      <x:c r="B86" s="97" t="n">
        <x:v>30</x:v>
      </x:c>
      <x:c r="C86" s="119" t="n">
        <x:v>0</x:v>
      </x:c>
      <x:c r="D86" s="96" t="str">
        <x:v>Low</x:v>
      </x:c>
      <x:c r="E86" s="120" t="n">
        <x:v>-0.31</x:v>
      </x:c>
      <x:c r="F86" s="96" t="str">
        <x:v>Marine application</x:v>
      </x:c>
      <x:c r="G86" s="96" t="str">
        <x:v>Informational</x:v>
      </x:c>
      <x:c r="H86" s="98" t="str">
        <x:v>P2</x:v>
      </x:c>
      <x:c r="I86" s="96" t="str">
        <x:v>Marine MTU parts landing page</x:v>
      </x:c>
      <x:c r="J86" s="96" t="str">
        <x:v>https://keywordseverywhere.com/tools/search-volume-checker/</x:v>
      </x:c>
      <x:c r="K86" s="96" t="str">
        <x:v>Validated US demand</x:v>
      </x:c>
      <x:c r="L86" s="96" t="n">
        <x:f>RANK(B86,$B$5:$B$93,0)+COUNTIF($B$5:B86,B86)-1</x:f>
        <x:v>13</x:v>
      </x:c>
    </x:row>
    <x:row r="87">
      <x:c r="A87" s="118" t="str">
        <x:v>mtu m96l</x:v>
      </x:c>
      <x:c r="B87" s="97" t="n">
        <x:v>20</x:v>
      </x:c>
      <x:c r="C87" s="119" t="n">
        <x:v>0</x:v>
      </x:c>
      <x:c r="D87" s="96" t="str">
        <x:v>Low</x:v>
      </x:c>
      <x:c r="E87" s="120" t="n">
        <x:v>-0.04</x:v>
      </x:c>
      <x:c r="F87" s="96" t="str">
        <x:v>Brand / engine</x:v>
      </x:c>
      <x:c r="G87" s="96" t="str">
        <x:v>Informational</x:v>
      </x:c>
      <x:c r="H87" s="98" t="str">
        <x:v>P2</x:v>
      </x:c>
      <x:c r="I87" s="96" t="str">
        <x:v>Relevant engine-series page</x:v>
      </x:c>
      <x:c r="J87" s="96" t="str">
        <x:v>https://keywordseverywhere.com/tools/search-volume-checker/</x:v>
      </x:c>
      <x:c r="K87" s="96" t="str">
        <x:v>Validated US demand</x:v>
      </x:c>
      <x:c r="L87" s="96" t="n">
        <x:f>RANK(B87,$B$5:$B$93,0)+COUNTIF($B$5:B87,B87)-1</x:f>
        <x:v>15</x:v>
      </x:c>
    </x:row>
    <x:row r="88">
      <x:c r="A88" s="118" t="str">
        <x:v>mtu 2000</x:v>
      </x:c>
      <x:c r="B88" s="97" t="n">
        <x:v>30</x:v>
      </x:c>
      <x:c r="C88" s="119" t="n">
        <x:v>0</x:v>
      </x:c>
      <x:c r="D88" s="96" t="str">
        <x:v>Low</x:v>
      </x:c>
      <x:c r="E88" s="120" t="n">
        <x:v>0.26</x:v>
      </x:c>
      <x:c r="F88" s="96" t="str">
        <x:v>Engine series</x:v>
      </x:c>
      <x:c r="G88" s="96" t="str">
        <x:v>Informational</x:v>
      </x:c>
      <x:c r="H88" s="98" t="str">
        <x:v>P2</x:v>
      </x:c>
      <x:c r="I88" s="96" t="str">
        <x:v>MTU 2000 series page</x:v>
      </x:c>
      <x:c r="J88" s="96" t="str">
        <x:v>https://keywordseverywhere.com/tools/search-volume-checker/</x:v>
      </x:c>
      <x:c r="K88" s="96" t="str">
        <x:v>Validated US demand</x:v>
      </x:c>
      <x:c r="L88" s="96" t="n">
        <x:f>RANK(B88,$B$5:$B$93,0)+COUNTIF($B$5:B88,B88)-1</x:f>
        <x:v>14</x:v>
      </x:c>
    </x:row>
    <x:row r="89">
      <x:c r="A89" s="118" t="str">
        <x:v>mtu 4000</x:v>
      </x:c>
      <x:c r="B89" s="97" t="n">
        <x:v>70</x:v>
      </x:c>
      <x:c r="C89" s="119" t="n">
        <x:v>0</x:v>
      </x:c>
      <x:c r="D89" s="96" t="str">
        <x:v>Low</x:v>
      </x:c>
      <x:c r="E89" s="120" t="n">
        <x:v>0.05</x:v>
      </x:c>
      <x:c r="F89" s="96" t="str">
        <x:v>Engine series</x:v>
      </x:c>
      <x:c r="G89" s="96" t="str">
        <x:v>Informational</x:v>
      </x:c>
      <x:c r="H89" s="98" t="str">
        <x:v>P2</x:v>
      </x:c>
      <x:c r="I89" s="96" t="str">
        <x:v>MTU 4000 series page</x:v>
      </x:c>
      <x:c r="J89" s="96" t="str">
        <x:v>https://keywordseverywhere.com/tools/search-volume-checker/</x:v>
      </x:c>
      <x:c r="K89" s="96" t="str">
        <x:v>Validated US demand</x:v>
      </x:c>
      <x:c r="L89" s="96" t="n">
        <x:f>RANK(B89,$B$5:$B$93,0)+COUNTIF($B$5:B89,B89)-1</x:f>
        <x:v>7</x:v>
      </x:c>
    </x:row>
    <x:row r="90">
      <x:c r="A90" s="118" t="str">
        <x:v>mtu 8000</x:v>
      </x:c>
      <x:c r="B90" s="97" t="n">
        <x:v>50</x:v>
      </x:c>
      <x:c r="C90" s="119" t="n">
        <x:v>0</x:v>
      </x:c>
      <x:c r="D90" s="96" t="str">
        <x:v>Low</x:v>
      </x:c>
      <x:c r="E90" s="120" t="n">
        <x:v>-0.58</x:v>
      </x:c>
      <x:c r="F90" s="96" t="str">
        <x:v>Engine series</x:v>
      </x:c>
      <x:c r="G90" s="96" t="str">
        <x:v>Informational</x:v>
      </x:c>
      <x:c r="H90" s="98" t="str">
        <x:v>P2</x:v>
      </x:c>
      <x:c r="I90" s="96" t="str">
        <x:v>MTU 8000 series page</x:v>
      </x:c>
      <x:c r="J90" s="96" t="str">
        <x:v>https://keywordseverywhere.com/tools/search-volume-checker/</x:v>
      </x:c>
      <x:c r="K90" s="96" t="str">
        <x:v>Validated US demand</x:v>
      </x:c>
      <x:c r="L90" s="96" t="n">
        <x:f>RANK(B90,$B$5:$B$93,0)+COUNTIF($B$5:B90,B90)-1</x:f>
        <x:v>11</x:v>
      </x:c>
    </x:row>
    <x:row r="91">
      <x:c r="A91" s="118" t="str">
        <x:v>diesel engine parts supplier</x:v>
      </x:c>
      <x:c r="B91" s="97" t="n">
        <x:v>140</x:v>
      </x:c>
      <x:c r="C91" s="119" t="n">
        <x:v>1.35</x:v>
      </x:c>
      <x:c r="D91" s="96" t="str">
        <x:v>Medium</x:v>
      </x:c>
      <x:c r="E91" s="120" t="n">
        <x:v>-0.8</x:v>
      </x:c>
      <x:c r="F91" s="96" t="str">
        <x:v>Core commercial</x:v>
      </x:c>
      <x:c r="G91" s="96" t="str">
        <x:v>Transactional</x:v>
      </x:c>
      <x:c r="H91" s="98" t="str">
        <x:v>P1</x:v>
      </x:c>
      <x:c r="I91" s="96" t="str">
        <x:v>Homepage</x:v>
      </x:c>
      <x:c r="J91" s="96" t="str">
        <x:v>https://keywordseverywhere.com/tools/search-volume-checker/</x:v>
      </x:c>
      <x:c r="K91" s="96" t="str">
        <x:v>Validated US demand</x:v>
      </x:c>
      <x:c r="L91" s="96" t="n">
        <x:f>RANK(B91,$B$5:$B$93,0)+COUNTIF($B$5:B91,B91)-1</x:f>
        <x:v>4</x:v>
      </x:c>
    </x:row>
    <x:row r="92">
      <x:c r="A92" s="118" t="str">
        <x:v>diesel engine spare parts supplier</x:v>
      </x:c>
      <x:c r="B92" s="97" t="n">
        <x:v>10</x:v>
      </x:c>
      <x:c r="C92" s="119" t="n">
        <x:v>0</x:v>
      </x:c>
      <x:c r="D92" s="96" t="str">
        <x:v>Low</x:v>
      </x:c>
      <x:c r="E92" s="120" t="n">
        <x:v>10</x:v>
      </x:c>
      <x:c r="F92" s="96" t="str">
        <x:v>Core commercial</x:v>
      </x:c>
      <x:c r="G92" s="96" t="str">
        <x:v>Transactional</x:v>
      </x:c>
      <x:c r="H92" s="98" t="str">
        <x:v>P2</x:v>
      </x:c>
      <x:c r="I92" s="96" t="str">
        <x:v>Relevant engine-series page</x:v>
      </x:c>
      <x:c r="J92" s="96" t="str">
        <x:v>https://keywordseverywhere.com/tools/search-volume-checker/</x:v>
      </x:c>
      <x:c r="K92" s="96" t="str">
        <x:v>Validated US demand</x:v>
      </x:c>
      <x:c r="L92" s="96" t="n">
        <x:f>RANK(B92,$B$5:$B$93,0)+COUNTIF($B$5:B92,B92)-1</x:f>
        <x:v>38</x:v>
      </x:c>
    </x:row>
    <x:row r="93">
      <x:c r="A93" s="121" t="str">
        <x:v>marine diesel engine parts supplier</x:v>
      </x:c>
      <x:c r="B93" s="100" t="n">
        <x:v>0</x:v>
      </x:c>
      <x:c r="C93" s="122" t="n">
        <x:v>0</x:v>
      </x:c>
      <x:c r="D93" s="99" t="str">
        <x:v>Low</x:v>
      </x:c>
      <x:c r="E93" s="123"/>
      <x:c r="F93" s="99" t="str">
        <x:v>Core commercial</x:v>
      </x:c>
      <x:c r="G93" s="99" t="str">
        <x:v>Transactional</x:v>
      </x:c>
      <x:c r="H93" s="101" t="str">
        <x:v>P3</x:v>
      </x:c>
      <x:c r="I93" s="99" t="str">
        <x:v>Homepage</x:v>
      </x:c>
      <x:c r="J93" s="99" t="str">
        <x:v>https://keywordseverywhere.com/tools/search-volume-checker/</x:v>
      </x:c>
      <x:c r="K93" s="99" t="str">
        <x:v>KE reports 0; retain only with GSC, customer, or part-number evidence</x:v>
      </x:c>
      <x:c r="L93" s="99" t="n">
        <x:f>RANK(B93,$B$5:$B$93,0)+COUNTIF($B$5:B93,B93)-1</x:f>
        <x:v>89</x:v>
      </x:c>
    </x:row>
  </x:sheetData>
  <x:mergeCells>
    <x:mergeCell ref="A1:L2"/>
    <x:mergeCell ref="A3:L3"/>
  </x:mergeCells>
  <x:conditionalFormatting sqref="H5:H93">
    <x:cfRule type="containsText" dxfId="0" priority="1" operator="containsText" text="P1"/>
    <x:cfRule type="containsText" dxfId="1" priority="2" operator="containsText" text="P2"/>
    <x:cfRule type="containsText" dxfId="2" priority="3" operator="containsText" text="P3"/>
  </x:conditionalFormatting>
  <x:conditionalFormatting sqref="B5:B93">
    <x:cfRule type="dataBar" priority="4">
      <x:dataBar>
        <x:cfvo type="min"/>
        <x:cfvo type="max"/>
        <x:color rgb="FF0878F9"/>
      </x:dataBar>
      <x:extLst>
        <x:ext xmlns:x14="http://schemas.microsoft.com/office/spreadsheetml/2009/9/main" uri="{B025F937-C7B1-47D3-B67F-A62EFF666E3E}">
          <x14:id>{AD81CC91-55D2-BA7A-EB1D-16D0667D8110}</x14:id>
        </x:ext>
      </x:extLst>
    </x:cfRule>
  </x:conditionalFormatting>
  <x:conditionalFormatting sqref="E5:E93">
    <x:cfRule type="cellIs" dxfId="3" priority="5" operator="greaterThan">
      <x:formula>0</x:formula>
    </x:cfRule>
    <x:cfRule type="cellIs" dxfId="4" priority="6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353094e14d0423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AD81CC91-55D2-BA7A-EB1D-16D0667D8110}">
            <x14:dataBar gradient="1">
              <x14:cfvo type="min"/>
              <x14:cfvo type="max"/>
              <x14:fillColor rgb="FF0878F9"/>
            </x14:dataBar>
          </x14:cfRule>
          <xm:sqref>B5:B93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9" hidden="0" customWidth="1"/>
    <x:col min="8" max="8" width="48" hidden="0" customWidth="1"/>
  </x:cols>
  <x:sheetData>
    <x:row r="1">
      <x:c r="A1" s="112" t="str">
        <x:v>Competitor Keyword Gap - engine-family.com</x:v>
      </x:c>
      <x:c r="B1" s="112"/>
      <x:c r="C1" s="112"/>
      <x:c r="D1" s="112"/>
      <x:c r="E1" s="112"/>
      <x:c r="F1" s="112"/>
      <x:c r="G1" s="112"/>
      <x:c r="H1" s="112"/>
    </x:row>
    <x:row r="2">
      <x:c r="A2" s="112"/>
      <x:c r="B2" s="112"/>
      <x:c r="C2" s="112"/>
      <x:c r="D2" s="112"/>
      <x:c r="E2" s="112"/>
      <x:c r="F2" s="112"/>
      <x:c r="G2" s="112"/>
      <x:c r="H2" s="112"/>
    </x:row>
    <x:row r="3">
      <x:c r="A3" s="113" t="str">
        <x:v>KE found 184 US gap keywords. dieselpartsource.com is too new for KE to verify, so these are competitor opportunities rather than a definitive proof that your site has no rankings.</x:v>
      </x:c>
      <x:c r="B3" s="113"/>
      <x:c r="C3" s="113"/>
      <x:c r="D3" s="113"/>
      <x:c r="E3" s="113"/>
      <x:c r="F3" s="113"/>
      <x:c r="G3" s="113"/>
      <x:c r="H3" s="113"/>
    </x:row>
    <x:row r="4">
      <x:c r="A4" s="114" t="str">
        <x:v>Keyword</x:v>
      </x:c>
      <x:c r="B4" s="114" t="str">
        <x:v>Competitor Traffic/mo</x:v>
      </x:c>
      <x:c r="C4" s="114" t="str">
        <x:v>Competitor Position</x:v>
      </x:c>
      <x:c r="D4" s="114" t="str">
        <x:v>Brand</x:v>
      </x:c>
      <x:c r="E4" s="114" t="str">
        <x:v>Intent</x:v>
      </x:c>
      <x:c r="F4" s="114" t="str">
        <x:v>Relevance</x:v>
      </x:c>
      <x:c r="G4" s="114" t="str">
        <x:v>Recommended Action</x:v>
      </x:c>
      <x:c r="H4" s="114" t="str">
        <x:v>Source URL</x:v>
      </x:c>
    </x:row>
    <x:row r="5">
      <x:c r="A5" s="93" t="str">
        <x:v>cummins c</x:v>
      </x:c>
      <x:c r="B5" s="94" t="n">
        <x:v>24</x:v>
      </x:c>
      <x:c r="C5" s="94" t="n">
        <x:v>6</x:v>
      </x:c>
      <x:c r="D5" s="93" t="str">
        <x:v>Cummins</x:v>
      </x:c>
      <x:c r="E5" s="93" t="str">
        <x:v>Informational</x:v>
      </x:c>
      <x:c r="F5" s="93" t="str">
        <x:v>Low</x:v>
      </x:c>
      <x:c r="G5" s="93" t="str">
        <x:v>Monitor / ignore</x:v>
      </x:c>
      <x:c r="H5" s="93" t="str">
        <x:v>https://keywordseverywhere.com/tools/keyword-gap-analysis/</x:v>
      </x:c>
    </x:row>
    <x:row r="6">
      <x:c r="A6" s="96" t="str">
        <x:v>cummins 290 specs</x:v>
      </x:c>
      <x:c r="B6" s="97" t="n">
        <x:v>11</x:v>
      </x:c>
      <x:c r="C6" s="97" t="n">
        <x:v>2</x:v>
      </x:c>
      <x:c r="D6" s="96" t="str">
        <x:v>Cummins</x:v>
      </x:c>
      <x:c r="E6" s="96" t="str">
        <x:v>Informational</x:v>
      </x:c>
      <x:c r="F6" s="96" t="str">
        <x:v>Low</x:v>
      </x:c>
      <x:c r="G6" s="96" t="str">
        <x:v>Monitor / ignore</x:v>
      </x:c>
      <x:c r="H6" s="96" t="str">
        <x:v>https://keywordseverywhere.com/tools/keyword-gap-analysis/</x:v>
      </x:c>
    </x:row>
    <x:row r="7">
      <x:c r="A7" s="96" t="str">
        <x:v>l series engine</x:v>
      </x:c>
      <x:c r="B7" s="97" t="n">
        <x:v>9</x:v>
      </x:c>
      <x:c r="C7" s="97" t="n">
        <x:v>3</x:v>
      </x:c>
      <x:c r="D7" s="96" t="str">
        <x:v>Generic</x:v>
      </x:c>
      <x:c r="E7" s="96" t="str">
        <x:v>Informational</x:v>
      </x:c>
      <x:c r="F7" s="96" t="str">
        <x:v>Medium</x:v>
      </x:c>
      <x:c r="G7" s="96" t="str">
        <x:v>Monitor / ignore</x:v>
      </x:c>
      <x:c r="H7" s="96" t="str">
        <x:v>https://keywordseverywhere.com/tools/keyword-gap-analysis/</x:v>
      </x:c>
    </x:row>
    <x:row r="8">
      <x:c r="A8" s="96" t="str">
        <x:v>cummins k series</x:v>
      </x:c>
      <x:c r="B8" s="97" t="n">
        <x:v>9</x:v>
      </x:c>
      <x:c r="C8" s="97" t="n">
        <x:v>1</x:v>
      </x:c>
      <x:c r="D8" s="96" t="str">
        <x:v>Cummins</x:v>
      </x:c>
      <x:c r="E8" s="96" t="str">
        <x:v>Informational</x:v>
      </x:c>
      <x:c r="F8" s="96" t="str">
        <x:v>Low</x:v>
      </x:c>
      <x:c r="G8" s="96" t="str">
        <x:v>Monitor / ignore</x:v>
      </x:c>
      <x:c r="H8" s="96" t="str">
        <x:v>https://keywordseverywhere.com/tools/keyword-gap-analysis/</x:v>
      </x:c>
    </x:row>
    <x:row r="9">
      <x:c r="A9" s="96" t="str">
        <x:v>cummins engine foton</x:v>
      </x:c>
      <x:c r="B9" s="97" t="n">
        <x:v>9</x:v>
      </x:c>
      <x:c r="C9" s="97" t="n">
        <x:v>1</x:v>
      </x:c>
      <x:c r="D9" s="96" t="str">
        <x:v>Cummins</x:v>
      </x:c>
      <x:c r="E9" s="96" t="str">
        <x:v>Informational</x:v>
      </x:c>
      <x:c r="F9" s="96" t="str">
        <x:v>Medium</x:v>
      </x:c>
      <x:c r="G9" s="96" t="str">
        <x:v>Monitor / ignore</x:v>
      </x:c>
      <x:c r="H9" s="96" t="str">
        <x:v>https://keywordseverywhere.com/tools/keyword-gap-analysis/</x:v>
      </x:c>
    </x:row>
    <x:row r="10">
      <x:c r="A10" s="96" t="str">
        <x:v>cummins m11 engine specs</x:v>
      </x:c>
      <x:c r="B10" s="97" t="n">
        <x:v>4</x:v>
      </x:c>
      <x:c r="C10" s="97" t="n">
        <x:v>8</x:v>
      </x:c>
      <x:c r="D10" s="96" t="str">
        <x:v>Cummins</x:v>
      </x:c>
      <x:c r="E10" s="96" t="str">
        <x:v>Informational</x:v>
      </x:c>
      <x:c r="F10" s="96" t="str">
        <x:v>Medium</x:v>
      </x:c>
      <x:c r="G10" s="96" t="str">
        <x:v>Monitor / ignore</x:v>
      </x:c>
      <x:c r="H10" s="96" t="str">
        <x:v>https://keywordseverywhere.com/tools/keyword-gap-analysis/</x:v>
      </x:c>
    </x:row>
    <x:row r="11">
      <x:c r="A11" s="96" t="str">
        <x:v>cummins ism specs</x:v>
      </x:c>
      <x:c r="B11" s="97" t="n">
        <x:v>4</x:v>
      </x:c>
      <x:c r="C11" s="97" t="n">
        <x:v>10</x:v>
      </x:c>
      <x:c r="D11" s="96" t="str">
        <x:v>Cummins</x:v>
      </x:c>
      <x:c r="E11" s="96" t="str">
        <x:v>Informational</x:v>
      </x:c>
      <x:c r="F11" s="96" t="str">
        <x:v>Low</x:v>
      </x:c>
      <x:c r="G11" s="96" t="str">
        <x:v>Monitor / ignore</x:v>
      </x:c>
      <x:c r="H11" s="96" t="str">
        <x:v>https://keywordseverywhere.com/tools/keyword-gap-analysis/</x:v>
      </x:c>
    </x:row>
    <x:row r="12">
      <x:c r="A12" s="96" t="str">
        <x:v>genuine cummins parts</x:v>
      </x:c>
      <x:c r="B12" s="97" t="n">
        <x:v>3</x:v>
      </x:c>
      <x:c r="C12" s="97" t="n">
        <x:v>18</x:v>
      </x:c>
      <x:c r="D12" s="96" t="str">
        <x:v>Cummins</x:v>
      </x:c>
      <x:c r="E12" s="96" t="str">
        <x:v>Transactional</x:v>
      </x:c>
      <x:c r="F12" s="96" t="str">
        <x:v>Low</x:v>
      </x:c>
      <x:c r="G12" s="96" t="str">
        <x:v>Monitor / ignore</x:v>
      </x:c>
      <x:c r="H12" s="96" t="str">
        <x:v>https://keywordseverywhere.com/tools/keyword-gap-analysis/</x:v>
      </x:c>
    </x:row>
    <x:row r="13">
      <x:c r="A13" s="96" t="str">
        <x:v>cummins engine qsb6 7</x:v>
      </x:c>
      <x:c r="B13" s="97" t="n">
        <x:v>3</x:v>
      </x:c>
      <x:c r="C13" s="97" t="n">
        <x:v>8</x:v>
      </x:c>
      <x:c r="D13" s="96" t="str">
        <x:v>Cummins</x:v>
      </x:c>
      <x:c r="E13" s="96" t="str">
        <x:v>Informational</x:v>
      </x:c>
      <x:c r="F13" s="96" t="str">
        <x:v>Medium</x:v>
      </x:c>
      <x:c r="G13" s="96" t="str">
        <x:v>Monitor / ignore</x:v>
      </x:c>
      <x:c r="H13" s="96" t="str">
        <x:v>https://keywordseverywhere.com/tools/keyword-gap-analysis/</x:v>
      </x:c>
    </x:row>
    <x:row r="14">
      <x:c r="A14" s="96" t="str">
        <x:v>deutz 2 cylinder diesel engine for sale</x:v>
      </x:c>
      <x:c r="B14" s="97" t="n">
        <x:v>3</x:v>
      </x:c>
      <x:c r="C14" s="97" t="n">
        <x:v>4</x:v>
      </x:c>
      <x:c r="D14" s="96" t="str">
        <x:v>Deutz</x:v>
      </x:c>
      <x:c r="E14" s="96" t="str">
        <x:v>Transactional</x:v>
      </x:c>
      <x:c r="F14" s="96" t="str">
        <x:v>Medium</x:v>
      </x:c>
      <x:c r="G14" s="96" t="str">
        <x:v>Monitor / ignore</x:v>
      </x:c>
      <x:c r="H14" s="96" t="str">
        <x:v>https://keywordseverywhere.com/tools/keyword-gap-analysis/</x:v>
      </x:c>
    </x:row>
    <x:row r="15">
      <x:c r="A15" s="96" t="str">
        <x:v>qsb</x:v>
      </x:c>
      <x:c r="B15" s="97" t="n">
        <x:v>3</x:v>
      </x:c>
      <x:c r="C15" s="97" t="n">
        <x:v>93</x:v>
      </x:c>
      <x:c r="D15" s="96" t="str">
        <x:v>Cummins</x:v>
      </x:c>
      <x:c r="E15" s="96" t="str">
        <x:v>Informational</x:v>
      </x:c>
      <x:c r="F15" s="96" t="str">
        <x:v>Low</x:v>
      </x:c>
      <x:c r="G15" s="96" t="str">
        <x:v>Monitor / ignore</x:v>
      </x:c>
      <x:c r="H15" s="96" t="str">
        <x:v>https://keywordseverywhere.com/tools/keyword-gap-analysis/</x:v>
      </x:c>
    </x:row>
    <x:row r="16">
      <x:c r="A16" s="96" t="str">
        <x:v>deutz air cooled engine</x:v>
      </x:c>
      <x:c r="B16" s="97" t="n">
        <x:v>2</x:v>
      </x:c>
      <x:c r="C16" s="97" t="n">
        <x:v>9</x:v>
      </x:c>
      <x:c r="D16" s="96" t="str">
        <x:v>Deutz</x:v>
      </x:c>
      <x:c r="E16" s="96" t="str">
        <x:v>Informational</x:v>
      </x:c>
      <x:c r="F16" s="96" t="str">
        <x:v>Medium</x:v>
      </x:c>
      <x:c r="G16" s="96" t="str">
        <x:v>Monitor / ignore</x:v>
      </x:c>
      <x:c r="H16" s="96" t="str">
        <x:v>https://keywordseverywhere.com/tools/keyword-gap-analysis/</x:v>
      </x:c>
    </x:row>
    <x:row r="17">
      <x:c r="A17" s="96" t="str">
        <x:v>deutz 912 for sale</x:v>
      </x:c>
      <x:c r="B17" s="97" t="n">
        <x:v>2</x:v>
      </x:c>
      <x:c r="C17" s="97" t="n">
        <x:v>4</x:v>
      </x:c>
      <x:c r="D17" s="96" t="str">
        <x:v>Deutz</x:v>
      </x:c>
      <x:c r="E17" s="96" t="str">
        <x:v>Transactional</x:v>
      </x:c>
      <x:c r="F17" s="96" t="str">
        <x:v>Low</x:v>
      </x:c>
      <x:c r="G17" s="96" t="str">
        <x:v>Monitor / ignore</x:v>
      </x:c>
      <x:c r="H17" s="96" t="str">
        <x:v>https://keywordseverywhere.com/tools/keyword-gap-analysis/</x:v>
      </x:c>
    </x:row>
    <x:row r="18">
      <x:c r="A18" s="96" t="str">
        <x:v>cummins m11 specs</x:v>
      </x:c>
      <x:c r="B18" s="97" t="n">
        <x:v>2</x:v>
      </x:c>
      <x:c r="C18" s="97" t="n">
        <x:v>12</x:v>
      </x:c>
      <x:c r="D18" s="96" t="str">
        <x:v>Cummins</x:v>
      </x:c>
      <x:c r="E18" s="96" t="str">
        <x:v>Informational</x:v>
      </x:c>
      <x:c r="F18" s="96" t="str">
        <x:v>Low</x:v>
      </x:c>
      <x:c r="G18" s="96" t="str">
        <x:v>Monitor / ignore</x:v>
      </x:c>
      <x:c r="H18" s="96" t="str">
        <x:v>https://keywordseverywhere.com/tools/keyword-gap-analysis/</x:v>
      </x:c>
    </x:row>
    <x:row r="19">
      <x:c r="A19" s="96" t="str">
        <x:v>kta38 cummins engine</x:v>
      </x:c>
      <x:c r="B19" s="97" t="n">
        <x:v>2</x:v>
      </x:c>
      <x:c r="C19" s="97" t="n">
        <x:v>8</x:v>
      </x:c>
      <x:c r="D19" s="96" t="str">
        <x:v>Cummins</x:v>
      </x:c>
      <x:c r="E19" s="96" t="str">
        <x:v>Informational</x:v>
      </x:c>
      <x:c r="F19" s="96" t="str">
        <x:v>Medium</x:v>
      </x:c>
      <x:c r="G19" s="96" t="str">
        <x:v>Monitor / ignore</x:v>
      </x:c>
      <x:c r="H19" s="96" t="str">
        <x:v>https://keywordseverywhere.com/tools/keyword-gap-analysis/</x:v>
      </x:c>
    </x:row>
    <x:row r="20">
      <x:c r="A20" s="96" t="str">
        <x:v>cummins m11</x:v>
      </x:c>
      <x:c r="B20" s="97" t="n">
        <x:v>2</x:v>
      </x:c>
      <x:c r="C20" s="97" t="n">
        <x:v>53</x:v>
      </x:c>
      <x:c r="D20" s="96" t="str">
        <x:v>Cummins</x:v>
      </x:c>
      <x:c r="E20" s="96" t="str">
        <x:v>Informational</x:v>
      </x:c>
      <x:c r="F20" s="96" t="str">
        <x:v>Low</x:v>
      </x:c>
      <x:c r="G20" s="96" t="str">
        <x:v>Monitor / ignore</x:v>
      </x:c>
      <x:c r="H20" s="96" t="str">
        <x:v>https://keywordseverywhere.com/tools/keyword-gap-analysis/</x:v>
      </x:c>
    </x:row>
    <x:row r="21">
      <x:c r="A21" s="96" t="str">
        <x:v>cummins ktta</x:v>
      </x:c>
      <x:c r="B21" s="97" t="n">
        <x:v>2</x:v>
      </x:c>
      <x:c r="C21" s="97" t="n">
        <x:v>10</x:v>
      </x:c>
      <x:c r="D21" s="96" t="str">
        <x:v>Cummins</x:v>
      </x:c>
      <x:c r="E21" s="96" t="str">
        <x:v>Informational</x:v>
      </x:c>
      <x:c r="F21" s="96" t="str">
        <x:v>Low</x:v>
      </x:c>
      <x:c r="G21" s="96" t="str">
        <x:v>Monitor / ignore</x:v>
      </x:c>
      <x:c r="H21" s="96" t="str">
        <x:v>https://keywordseverywhere.com/tools/keyword-gap-analysis/</x:v>
      </x:c>
    </x:row>
    <x:row r="22">
      <x:c r="A22" s="96" t="str">
        <x:v>cummins ism</x:v>
      </x:c>
      <x:c r="B22" s="97" t="n">
        <x:v>2</x:v>
      </x:c>
      <x:c r="C22" s="97" t="n">
        <x:v>42</x:v>
      </x:c>
      <x:c r="D22" s="96" t="str">
        <x:v>Cummins</x:v>
      </x:c>
      <x:c r="E22" s="96" t="str">
        <x:v>Informational</x:v>
      </x:c>
      <x:c r="F22" s="96" t="str">
        <x:v>Low</x:v>
      </x:c>
      <x:c r="G22" s="96" t="str">
        <x:v>Monitor / ignore</x:v>
      </x:c>
      <x:c r="H22" s="96" t="str">
        <x:v>https://keywordseverywhere.com/tools/keyword-gap-analysis/</x:v>
      </x:c>
    </x:row>
    <x:row r="23">
      <x:c r="A23" s="96" t="str">
        <x:v>m11 cummins</x:v>
      </x:c>
      <x:c r="B23" s="97" t="n">
        <x:v>2</x:v>
      </x:c>
      <x:c r="C23" s="97" t="n">
        <x:v>30</x:v>
      </x:c>
      <x:c r="D23" s="96" t="str">
        <x:v>Cummins</x:v>
      </x:c>
      <x:c r="E23" s="96" t="str">
        <x:v>Informational</x:v>
      </x:c>
      <x:c r="F23" s="96" t="str">
        <x:v>Low</x:v>
      </x:c>
      <x:c r="G23" s="96" t="str">
        <x:v>Monitor / ignore</x:v>
      </x:c>
      <x:c r="H23" s="96" t="str">
        <x:v>https://keywordseverywhere.com/tools/keyword-gap-analysis/</x:v>
      </x:c>
    </x:row>
    <x:row r="24">
      <x:c r="A24" s="96" t="str">
        <x:v>isf 2.8 cummins engine</x:v>
      </x:c>
      <x:c r="B24" s="97" t="n">
        <x:v>2</x:v>
      </x:c>
      <x:c r="C24" s="97" t="n">
        <x:v>6</x:v>
      </x:c>
      <x:c r="D24" s="96" t="str">
        <x:v>Cummins</x:v>
      </x:c>
      <x:c r="E24" s="96" t="str">
        <x:v>Informational</x:v>
      </x:c>
      <x:c r="F24" s="96" t="str">
        <x:v>Medium</x:v>
      </x:c>
      <x:c r="G24" s="96" t="str">
        <x:v>Monitor / ignore</x:v>
      </x:c>
      <x:c r="H24" s="96" t="str">
        <x:v>https://keywordseverywhere.com/tools/keyword-gap-analysis/</x:v>
      </x:c>
    </x:row>
    <x:row r="25">
      <x:c r="A25" s="96" t="str">
        <x:v>qsb6 7 cummins engine</x:v>
      </x:c>
      <x:c r="B25" s="97" t="n">
        <x:v>2</x:v>
      </x:c>
      <x:c r="C25" s="97" t="n">
        <x:v>10</x:v>
      </x:c>
      <x:c r="D25" s="96" t="str">
        <x:v>Cummins</x:v>
      </x:c>
      <x:c r="E25" s="96" t="str">
        <x:v>Informational</x:v>
      </x:c>
      <x:c r="F25" s="96" t="str">
        <x:v>Medium</x:v>
      </x:c>
      <x:c r="G25" s="96" t="str">
        <x:v>Monitor / ignore</x:v>
      </x:c>
      <x:c r="H25" s="96" t="str">
        <x:v>https://keywordseverywhere.com/tools/keyword-gap-analysis/</x:v>
      </x:c>
    </x:row>
    <x:row r="26">
      <x:c r="A26" s="96" t="str">
        <x:v>qsb6.7 cummins engine</x:v>
      </x:c>
      <x:c r="B26" s="97" t="n">
        <x:v>2</x:v>
      </x:c>
      <x:c r="C26" s="97" t="n">
        <x:v>9</x:v>
      </x:c>
      <x:c r="D26" s="96" t="str">
        <x:v>Cummins</x:v>
      </x:c>
      <x:c r="E26" s="96" t="str">
        <x:v>Informational</x:v>
      </x:c>
      <x:c r="F26" s="96" t="str">
        <x:v>Medium</x:v>
      </x:c>
      <x:c r="G26" s="96" t="str">
        <x:v>Monitor / ignore</x:v>
      </x:c>
      <x:c r="H26" s="96" t="str">
        <x:v>https://keywordseverywhere.com/tools/keyword-gap-analysis/</x:v>
      </x:c>
    </x:row>
    <x:row r="27">
      <x:c r="A27" s="96" t="str">
        <x:v>ism cummins</x:v>
      </x:c>
      <x:c r="B27" s="97" t="n">
        <x:v>2</x:v>
      </x:c>
      <x:c r="C27" s="97" t="n">
        <x:v>33</x:v>
      </x:c>
      <x:c r="D27" s="96" t="str">
        <x:v>Cummins</x:v>
      </x:c>
      <x:c r="E27" s="96" t="str">
        <x:v>Informational</x:v>
      </x:c>
      <x:c r="F27" s="96" t="str">
        <x:v>Low</x:v>
      </x:c>
      <x:c r="G27" s="96" t="str">
        <x:v>Monitor / ignore</x:v>
      </x:c>
      <x:c r="H27" s="96" t="str">
        <x:v>https://keywordseverywhere.com/tools/keyword-gap-analysis/</x:v>
      </x:c>
    </x:row>
    <x:row r="28">
      <x:c r="A28" s="96" t="str">
        <x:v>kta 600 cummins</x:v>
      </x:c>
      <x:c r="B28" s="97" t="n">
        <x:v>1</x:v>
      </x:c>
      <x:c r="C28" s="97" t="n">
        <x:v>52</x:v>
      </x:c>
      <x:c r="D28" s="96" t="str">
        <x:v>Cummins</x:v>
      </x:c>
      <x:c r="E28" s="96" t="str">
        <x:v>Informational</x:v>
      </x:c>
      <x:c r="F28" s="96" t="str">
        <x:v>Low</x:v>
      </x:c>
      <x:c r="G28" s="96" t="str">
        <x:v>Monitor / ignore</x:v>
      </x:c>
      <x:c r="H28" s="96" t="str">
        <x:v>https://keywordseverywhere.com/tools/keyword-gap-analysis/</x:v>
      </x:c>
    </x:row>
    <x:row r="29">
      <x:c r="A29" s="96" t="str">
        <x:v>deutz 912</x:v>
      </x:c>
      <x:c r="B29" s="97" t="n">
        <x:v>1</x:v>
      </x:c>
      <x:c r="C29" s="97" t="n">
        <x:v>17</x:v>
      </x:c>
      <x:c r="D29" s="96" t="str">
        <x:v>Deutz</x:v>
      </x:c>
      <x:c r="E29" s="96" t="str">
        <x:v>Informational</x:v>
      </x:c>
      <x:c r="F29" s="96" t="str">
        <x:v>Low</x:v>
      </x:c>
      <x:c r="G29" s="96" t="str">
        <x:v>Monitor / ignore</x:v>
      </x:c>
      <x:c r="H29" s="96" t="str">
        <x:v>https://keywordseverywhere.com/tools/keyword-gap-analysis/</x:v>
      </x:c>
    </x:row>
    <x:row r="30">
      <x:c r="A30" s="96" t="str">
        <x:v>4 cylinder cummins diesel engines</x:v>
      </x:c>
      <x:c r="B30" s="97" t="n">
        <x:v>1</x:v>
      </x:c>
      <x:c r="C30" s="97" t="n">
        <x:v>60</x:v>
      </x:c>
      <x:c r="D30" s="96" t="str">
        <x:v>Cummins</x:v>
      </x:c>
      <x:c r="E30" s="96" t="str">
        <x:v>Informational</x:v>
      </x:c>
      <x:c r="F30" s="96" t="str">
        <x:v>Medium</x:v>
      </x:c>
      <x:c r="G30" s="96" t="str">
        <x:v>Monitor / ignore</x:v>
      </x:c>
      <x:c r="H30" s="96" t="str">
        <x:v>https://keywordseverywhere.com/tools/keyword-gap-analysis/</x:v>
      </x:c>
    </x:row>
    <x:row r="31">
      <x:c r="A31" s="96" t="str">
        <x:v>855 cummins oil capacity</x:v>
      </x:c>
      <x:c r="B31" s="97" t="n">
        <x:v>1</x:v>
      </x:c>
      <x:c r="C31" s="97" t="n">
        <x:v>11</x:v>
      </x:c>
      <x:c r="D31" s="96" t="str">
        <x:v>Cummins</x:v>
      </x:c>
      <x:c r="E31" s="96" t="str">
        <x:v>Informational</x:v>
      </x:c>
      <x:c r="F31" s="96" t="str">
        <x:v>Low</x:v>
      </x:c>
      <x:c r="G31" s="96" t="str">
        <x:v>Monitor / ignore</x:v>
      </x:c>
      <x:c r="H31" s="96" t="str">
        <x:v>https://keywordseverywhere.com/tools/keyword-gap-analysis/</x:v>
      </x:c>
    </x:row>
    <x:row r="32">
      <x:c r="A32" s="96" t="str">
        <x:v>diesel engine suppliers</x:v>
      </x:c>
      <x:c r="B32" s="97" t="n">
        <x:v>1</x:v>
      </x:c>
      <x:c r="C32" s="97" t="n">
        <x:v>50</x:v>
      </x:c>
      <x:c r="D32" s="96" t="str">
        <x:v>Generic</x:v>
      </x:c>
      <x:c r="E32" s="96" t="str">
        <x:v>Transactional</x:v>
      </x:c>
      <x:c r="F32" s="96" t="str">
        <x:v>Medium</x:v>
      </x:c>
      <x:c r="G32" s="96" t="str">
        <x:v>Monitor / ignore</x:v>
      </x:c>
      <x:c r="H32" s="96" t="str">
        <x:v>https://keywordseverywhere.com/tools/keyword-gap-analysis/</x:v>
      </x:c>
    </x:row>
    <x:row r="33">
      <x:c r="A33" s="96" t="str">
        <x:v>deutz v8 air cooled diesel engine</x:v>
      </x:c>
      <x:c r="B33" s="97" t="n">
        <x:v>1</x:v>
      </x:c>
      <x:c r="C33" s="97" t="n">
        <x:v>6</x:v>
      </x:c>
      <x:c r="D33" s="96" t="str">
        <x:v>Deutz</x:v>
      </x:c>
      <x:c r="E33" s="96" t="str">
        <x:v>Informational</x:v>
      </x:c>
      <x:c r="F33" s="96" t="str">
        <x:v>Medium</x:v>
      </x:c>
      <x:c r="G33" s="96" t="str">
        <x:v>Monitor / ignore</x:v>
      </x:c>
      <x:c r="H33" s="96" t="str">
        <x:v>https://keywordseverywhere.com/tools/keyword-gap-analysis/</x:v>
      </x:c>
    </x:row>
    <x:row r="34">
      <x:c r="A34" s="96" t="str">
        <x:v>deutz diesel engine</x:v>
      </x:c>
      <x:c r="B34" s="97" t="n">
        <x:v>1</x:v>
      </x:c>
      <x:c r="C34" s="97" t="n">
        <x:v>27</x:v>
      </x:c>
      <x:c r="D34" s="96" t="str">
        <x:v>Deutz</x:v>
      </x:c>
      <x:c r="E34" s="96" t="str">
        <x:v>Informational</x:v>
      </x:c>
      <x:c r="F34" s="96" t="str">
        <x:v>Medium</x:v>
      </x:c>
      <x:c r="G34" s="96" t="str">
        <x:v>Monitor / ignore</x:v>
      </x:c>
      <x:c r="H34" s="96" t="str">
        <x:v>https://keywordseverywhere.com/tools/keyword-gap-analysis/</x:v>
      </x:c>
    </x:row>
    <x:row r="35">
      <x:c r="A35" s="96" t="str">
        <x:v>deutz air cooled diesel engine for sale</x:v>
      </x:c>
      <x:c r="B35" s="97" t="n">
        <x:v>1</x:v>
      </x:c>
      <x:c r="C35" s="97" t="n">
        <x:v>7</x:v>
      </x:c>
      <x:c r="D35" s="96" t="str">
        <x:v>Deutz</x:v>
      </x:c>
      <x:c r="E35" s="96" t="str">
        <x:v>Transactional</x:v>
      </x:c>
      <x:c r="F35" s="96" t="str">
        <x:v>Medium</x:v>
      </x:c>
      <x:c r="G35" s="96" t="str">
        <x:v>Monitor / ignore</x:v>
      </x:c>
      <x:c r="H35" s="96" t="str">
        <x:v>https://keywordseverywhere.com/tools/keyword-gap-analysis/</x:v>
      </x:c>
    </x:row>
    <x:row r="36">
      <x:c r="A36" s="96" t="str">
        <x:v>cummins qsk19 specifications</x:v>
      </x:c>
      <x:c r="B36" s="97" t="n">
        <x:v>1</x:v>
      </x:c>
      <x:c r="C36" s="97" t="n">
        <x:v>7</x:v>
      </x:c>
      <x:c r="D36" s="96" t="str">
        <x:v>Cummins</x:v>
      </x:c>
      <x:c r="E36" s="96" t="str">
        <x:v>Informational</x:v>
      </x:c>
      <x:c r="F36" s="96" t="str">
        <x:v>Low</x:v>
      </x:c>
      <x:c r="G36" s="96" t="str">
        <x:v>Monitor / ignore</x:v>
      </x:c>
      <x:c r="H36" s="96" t="str">
        <x:v>https://keywordseverywhere.com/tools/keyword-gap-analysis/</x:v>
      </x:c>
    </x:row>
    <x:row r="37">
      <x:c r="A37" s="96" t="str">
        <x:v>deutz 3 cylinder diesel engine</x:v>
      </x:c>
      <x:c r="B37" s="97" t="n">
        <x:v>1</x:v>
      </x:c>
      <x:c r="C37" s="97" t="n">
        <x:v>9</x:v>
      </x:c>
      <x:c r="D37" s="96" t="str">
        <x:v>Deutz</x:v>
      </x:c>
      <x:c r="E37" s="96" t="str">
        <x:v>Informational</x:v>
      </x:c>
      <x:c r="F37" s="96" t="str">
        <x:v>Medium</x:v>
      </x:c>
      <x:c r="G37" s="96" t="str">
        <x:v>Monitor / ignore</x:v>
      </x:c>
      <x:c r="H37" s="96" t="str">
        <x:v>https://keywordseverywhere.com/tools/keyword-gap-analysis/</x:v>
      </x:c>
    </x:row>
    <x:row r="38">
      <x:c r="A38" s="96" t="str">
        <x:v>270 cummins</x:v>
      </x:c>
      <x:c r="B38" s="97" t="n">
        <x:v>1</x:v>
      </x:c>
      <x:c r="C38" s="97" t="n">
        <x:v>7</x:v>
      </x:c>
      <x:c r="D38" s="96" t="str">
        <x:v>Cummins</x:v>
      </x:c>
      <x:c r="E38" s="96" t="str">
        <x:v>Informational</x:v>
      </x:c>
      <x:c r="F38" s="96" t="str">
        <x:v>Low</x:v>
      </x:c>
      <x:c r="G38" s="96" t="str">
        <x:v>Monitor / ignore</x:v>
      </x:c>
      <x:c r="H38" s="96" t="str">
        <x:v>https://keywordseverywhere.com/tools/keyword-gap-analysis/</x:v>
      </x:c>
    </x:row>
    <x:row r="39">
      <x:c r="A39" s="96" t="str">
        <x:v>cummins 19 liter engine</x:v>
      </x:c>
      <x:c r="B39" s="97" t="n">
        <x:v>1</x:v>
      </x:c>
      <x:c r="C39" s="97" t="n">
        <x:v>7</x:v>
      </x:c>
      <x:c r="D39" s="96" t="str">
        <x:v>Cummins</x:v>
      </x:c>
      <x:c r="E39" s="96" t="str">
        <x:v>Informational</x:v>
      </x:c>
      <x:c r="F39" s="96" t="str">
        <x:v>Medium</x:v>
      </x:c>
      <x:c r="G39" s="96" t="str">
        <x:v>Monitor / ignore</x:v>
      </x:c>
      <x:c r="H39" s="96" t="str">
        <x:v>https://keywordseverywhere.com/tools/keyword-gap-analysis/</x:v>
      </x:c>
    </x:row>
    <x:row r="40">
      <x:c r="A40" s="96" t="str">
        <x:v>cummins 3.8 isf</x:v>
      </x:c>
      <x:c r="B40" s="97" t="n">
        <x:v>1</x:v>
      </x:c>
      <x:c r="C40" s="97" t="n">
        <x:v>10</x:v>
      </x:c>
      <x:c r="D40" s="96" t="str">
        <x:v>Cummins</x:v>
      </x:c>
      <x:c r="E40" s="96" t="str">
        <x:v>Informational</x:v>
      </x:c>
      <x:c r="F40" s="96" t="str">
        <x:v>Low</x:v>
      </x:c>
      <x:c r="G40" s="96" t="str">
        <x:v>Monitor / ignore</x:v>
      </x:c>
      <x:c r="H40" s="96" t="str">
        <x:v>https://keywordseverywhere.com/tools/keyword-gap-analysis/</x:v>
      </x:c>
    </x:row>
    <x:row r="41">
      <x:c r="A41" s="96" t="str">
        <x:v>cummins 335</x:v>
      </x:c>
      <x:c r="B41" s="97" t="n">
        <x:v>1</x:v>
      </x:c>
      <x:c r="C41" s="97" t="n">
        <x:v>12</x:v>
      </x:c>
      <x:c r="D41" s="96" t="str">
        <x:v>Cummins</x:v>
      </x:c>
      <x:c r="E41" s="96" t="str">
        <x:v>Informational</x:v>
      </x:c>
      <x:c r="F41" s="96" t="str">
        <x:v>Low</x:v>
      </x:c>
      <x:c r="G41" s="96" t="str">
        <x:v>Monitor / ignore</x:v>
      </x:c>
      <x:c r="H41" s="96" t="str">
        <x:v>https://keywordseverywhere.com/tools/keyword-gap-analysis/</x:v>
      </x:c>
    </x:row>
    <x:row r="42">
      <x:c r="A42" s="96" t="str">
        <x:v>cummins b series</x:v>
      </x:c>
      <x:c r="B42" s="97" t="n">
        <x:v>1</x:v>
      </x:c>
      <x:c r="C42" s="97" t="n">
        <x:v>52</x:v>
      </x:c>
      <x:c r="D42" s="96" t="str">
        <x:v>Cummins</x:v>
      </x:c>
      <x:c r="E42" s="96" t="str">
        <x:v>Informational</x:v>
      </x:c>
      <x:c r="F42" s="96" t="str">
        <x:v>Low</x:v>
      </x:c>
      <x:c r="G42" s="96" t="str">
        <x:v>Monitor / ignore</x:v>
      </x:c>
      <x:c r="H42" s="96" t="str">
        <x:v>https://keywordseverywhere.com/tools/keyword-gap-analysis/</x:v>
      </x:c>
    </x:row>
    <x:row r="43">
      <x:c r="A43" s="96" t="str">
        <x:v>cummins ism engine</x:v>
      </x:c>
      <x:c r="B43" s="97" t="n">
        <x:v>1</x:v>
      </x:c>
      <x:c r="C43" s="97" t="n">
        <x:v>16</x:v>
      </x:c>
      <x:c r="D43" s="96" t="str">
        <x:v>Cummins</x:v>
      </x:c>
      <x:c r="E43" s="96" t="str">
        <x:v>Informational</x:v>
      </x:c>
      <x:c r="F43" s="96" t="str">
        <x:v>Medium</x:v>
      </x:c>
      <x:c r="G43" s="96" t="str">
        <x:v>Monitor / ignore</x:v>
      </x:c>
      <x:c r="H43" s="96" t="str">
        <x:v>https://keywordseverywhere.com/tools/keyword-gap-analysis/</x:v>
      </x:c>
    </x:row>
    <x:row r="44">
      <x:c r="A44" s="96" t="str">
        <x:v>cummins engine kta50</x:v>
      </x:c>
      <x:c r="B44" s="97" t="n">
        <x:v>1</x:v>
      </x:c>
      <x:c r="C44" s="97" t="n">
        <x:v>13</x:v>
      </x:c>
      <x:c r="D44" s="96" t="str">
        <x:v>Cummins</x:v>
      </x:c>
      <x:c r="E44" s="96" t="str">
        <x:v>Informational</x:v>
      </x:c>
      <x:c r="F44" s="96" t="str">
        <x:v>Medium</x:v>
      </x:c>
      <x:c r="G44" s="96" t="str">
        <x:v>Monitor / ignore</x:v>
      </x:c>
      <x:c r="H44" s="96" t="str">
        <x:v>https://keywordseverywhere.com/tools/keyword-gap-analysis/</x:v>
      </x:c>
    </x:row>
    <x:row r="45">
      <x:c r="A45" s="96" t="str">
        <x:v>4b3.9 cummins engine</x:v>
      </x:c>
      <x:c r="B45" s="97" t="n">
        <x:v>1</x:v>
      </x:c>
      <x:c r="C45" s="97" t="n">
        <x:v>8</x:v>
      </x:c>
      <x:c r="D45" s="96" t="str">
        <x:v>Cummins</x:v>
      </x:c>
      <x:c r="E45" s="96" t="str">
        <x:v>Informational</x:v>
      </x:c>
      <x:c r="F45" s="96" t="str">
        <x:v>Medium</x:v>
      </x:c>
      <x:c r="G45" s="96" t="str">
        <x:v>Monitor / ignore</x:v>
      </x:c>
      <x:c r="H45" s="96" t="str">
        <x:v>https://keywordseverywhere.com/tools/keyword-gap-analysis/</x:v>
      </x:c>
    </x:row>
    <x:row r="46">
      <x:c r="A46" s="96" t="str">
        <x:v>cummins qsb4 5</x:v>
      </x:c>
      <x:c r="B46" s="97" t="n">
        <x:v>1</x:v>
      </x:c>
      <x:c r="C46" s="97" t="n">
        <x:v>9</x:v>
      </x:c>
      <x:c r="D46" s="96" t="str">
        <x:v>Cummins</x:v>
      </x:c>
      <x:c r="E46" s="96" t="str">
        <x:v>Informational</x:v>
      </x:c>
      <x:c r="F46" s="96" t="str">
        <x:v>Low</x:v>
      </x:c>
      <x:c r="G46" s="96" t="str">
        <x:v>Monitor / ignore</x:v>
      </x:c>
      <x:c r="H46" s="96" t="str">
        <x:v>https://keywordseverywhere.com/tools/keyword-gap-analysis/</x:v>
      </x:c>
    </x:row>
    <x:row r="47">
      <x:c r="A47" s="96" t="str">
        <x:v>kta cummins</x:v>
      </x:c>
      <x:c r="B47" s="97" t="n">
        <x:v>1</x:v>
      </x:c>
      <x:c r="C47" s="97" t="n">
        <x:v>87</x:v>
      </x:c>
      <x:c r="D47" s="96" t="str">
        <x:v>Cummins</x:v>
      </x:c>
      <x:c r="E47" s="96" t="str">
        <x:v>Informational</x:v>
      </x:c>
      <x:c r="F47" s="96" t="str">
        <x:v>Low</x:v>
      </x:c>
      <x:c r="G47" s="96" t="str">
        <x:v>Monitor / ignore</x:v>
      </x:c>
      <x:c r="H47" s="96" t="str">
        <x:v>https://keywordseverywhere.com/tools/keyword-gap-analysis/</x:v>
      </x:c>
    </x:row>
    <x:row r="48">
      <x:c r="A48" s="96" t="str">
        <x:v>air cooled diesel</x:v>
      </x:c>
      <x:c r="B48" s="97" t="n">
        <x:v>1</x:v>
      </x:c>
      <x:c r="C48" s="97" t="n">
        <x:v>75</x:v>
      </x:c>
      <x:c r="D48" s="96" t="str">
        <x:v>Generic</x:v>
      </x:c>
      <x:c r="E48" s="96" t="str">
        <x:v>Informational</x:v>
      </x:c>
      <x:c r="F48" s="96" t="str">
        <x:v>Medium</x:v>
      </x:c>
      <x:c r="G48" s="96" t="str">
        <x:v>Monitor / ignore</x:v>
      </x:c>
      <x:c r="H48" s="96" t="str">
        <x:v>https://keywordseverywhere.com/tools/keyword-gap-analysis/</x:v>
      </x:c>
    </x:row>
    <x:row r="49">
      <x:c r="A49" s="96" t="str">
        <x:v>isf motor</x:v>
      </x:c>
      <x:c r="B49" s="97" t="n">
        <x:v>1</x:v>
      </x:c>
      <x:c r="C49" s="97" t="n">
        <x:v>11</x:v>
      </x:c>
      <x:c r="D49" s="96" t="str">
        <x:v>Cummins</x:v>
      </x:c>
      <x:c r="E49" s="96" t="str">
        <x:v>Informational</x:v>
      </x:c>
      <x:c r="F49" s="96" t="str">
        <x:v>Low</x:v>
      </x:c>
      <x:c r="G49" s="96" t="str">
        <x:v>Monitor / ignore</x:v>
      </x:c>
      <x:c r="H49" s="96" t="str">
        <x:v>https://keywordseverywhere.com/tools/keyword-gap-analysis/</x:v>
      </x:c>
    </x:row>
    <x:row r="50">
      <x:c r="A50" s="96" t="str">
        <x:v>b series cummins</x:v>
      </x:c>
      <x:c r="B50" s="97" t="n">
        <x:v>1</x:v>
      </x:c>
      <x:c r="C50" s="97" t="n">
        <x:v>70</x:v>
      </x:c>
      <x:c r="D50" s="96" t="str">
        <x:v>Cummins</x:v>
      </x:c>
      <x:c r="E50" s="96" t="str">
        <x:v>Informational</x:v>
      </x:c>
      <x:c r="F50" s="96" t="str">
        <x:v>Low</x:v>
      </x:c>
      <x:c r="G50" s="96" t="str">
        <x:v>Monitor / ignore</x:v>
      </x:c>
      <x:c r="H50" s="96" t="str">
        <x:v>https://keywordseverywhere.com/tools/keyword-gap-analysis/</x:v>
      </x:c>
    </x:row>
    <x:row r="51">
      <x:c r="A51" s="96" t="str">
        <x:v>k 19 cummins</x:v>
      </x:c>
      <x:c r="B51" s="97" t="n">
        <x:v>1</x:v>
      </x:c>
      <x:c r="C51" s="97" t="n">
        <x:v>13</x:v>
      </x:c>
      <x:c r="D51" s="96" t="str">
        <x:v>Cummins</x:v>
      </x:c>
      <x:c r="E51" s="96" t="str">
        <x:v>Informational</x:v>
      </x:c>
      <x:c r="F51" s="96" t="str">
        <x:v>Low</x:v>
      </x:c>
      <x:c r="G51" s="96" t="str">
        <x:v>Monitor / ignore</x:v>
      </x:c>
      <x:c r="H51" s="96" t="str">
        <x:v>https://keywordseverywhere.com/tools/keyword-gap-analysis/</x:v>
      </x:c>
    </x:row>
    <x:row r="52">
      <x:c r="A52" s="96" t="str">
        <x:v>who builds cummins engines</x:v>
      </x:c>
      <x:c r="B52" s="97" t="n">
        <x:v>1</x:v>
      </x:c>
      <x:c r="C52" s="97" t="n">
        <x:v>77</x:v>
      </x:c>
      <x:c r="D52" s="96" t="str">
        <x:v>Cummins</x:v>
      </x:c>
      <x:c r="E52" s="96" t="str">
        <x:v>Informational</x:v>
      </x:c>
      <x:c r="F52" s="96" t="str">
        <x:v>Medium</x:v>
      </x:c>
      <x:c r="G52" s="96" t="str">
        <x:v>Monitor / ignore</x:v>
      </x:c>
      <x:c r="H52" s="96" t="str">
        <x:v>https://keywordseverywhere.com/tools/keyword-gap-analysis/</x:v>
      </x:c>
    </x:row>
    <x:row r="53">
      <x:c r="A53" s="96" t="str">
        <x:v>chinese diesel motor</x:v>
      </x:c>
      <x:c r="B53" s="97" t="n">
        <x:v>1</x:v>
      </x:c>
      <x:c r="C53" s="97" t="n">
        <x:v>59</x:v>
      </x:c>
      <x:c r="D53" s="96" t="str">
        <x:v>Generic</x:v>
      </x:c>
      <x:c r="E53" s="96" t="str">
        <x:v>Informational</x:v>
      </x:c>
      <x:c r="F53" s="96" t="str">
        <x:v>Medium</x:v>
      </x:c>
      <x:c r="G53" s="96" t="str">
        <x:v>Monitor / ignore</x:v>
      </x:c>
      <x:c r="H53" s="96" t="str">
        <x:v>https://keywordseverywhere.com/tools/keyword-gap-analysis/</x:v>
      </x:c>
    </x:row>
    <x:row r="54">
      <x:c r="A54" s="96" t="str">
        <x:v>v12 deutz</x:v>
      </x:c>
      <x:c r="B54" s="97" t="n">
        <x:v>1</x:v>
      </x:c>
      <x:c r="C54" s="97" t="n">
        <x:v>6</x:v>
      </x:c>
      <x:c r="D54" s="96" t="str">
        <x:v>Deutz</x:v>
      </x:c>
      <x:c r="E54" s="96" t="str">
        <x:v>Informational</x:v>
      </x:c>
      <x:c r="F54" s="96" t="str">
        <x:v>Low</x:v>
      </x:c>
      <x:c r="G54" s="96" t="str">
        <x:v>Monitor / ignore</x:v>
      </x:c>
      <x:c r="H54" s="96" t="str">
        <x:v>https://keywordseverywhere.com/tools/keyword-gap-analysis/</x:v>
      </x:c>
    </x:row>
    <x:row r="55">
      <x:c r="A55" s="96" t="str">
        <x:v>deutz air cooled diesel</x:v>
      </x:c>
      <x:c r="B55" s="97" t="n">
        <x:v>1</x:v>
      </x:c>
      <x:c r="C55" s="97" t="n">
        <x:v>24</x:v>
      </x:c>
      <x:c r="D55" s="96" t="str">
        <x:v>Deutz</x:v>
      </x:c>
      <x:c r="E55" s="96" t="str">
        <x:v>Informational</x:v>
      </x:c>
      <x:c r="F55" s="96" t="str">
        <x:v>Medium</x:v>
      </x:c>
      <x:c r="G55" s="96" t="str">
        <x:v>Monitor / ignore</x:v>
      </x:c>
      <x:c r="H55" s="96" t="str">
        <x:v>https://keywordseverywhere.com/tools/keyword-gap-analysis/</x:v>
      </x:c>
    </x:row>
    <x:row r="56">
      <x:c r="A56" s="96" t="str">
        <x:v>mtu marine engines</x:v>
      </x:c>
      <x:c r="B56" s="97" t="n">
        <x:v>1</x:v>
      </x:c>
      <x:c r="C56" s="97" t="n">
        <x:v>33</x:v>
      </x:c>
      <x:c r="D56" s="96" t="str">
        <x:v>MTU</x:v>
      </x:c>
      <x:c r="E56" s="96" t="str">
        <x:v>Informational</x:v>
      </x:c>
      <x:c r="F56" s="96" t="str">
        <x:v>High</x:v>
      </x:c>
      <x:c r="G56" s="96" t="str">
        <x:v>Review now</x:v>
      </x:c>
      <x:c r="H56" s="96" t="str">
        <x:v>https://keywordseverywhere.com/tools/keyword-gap-analysis/</x:v>
      </x:c>
    </x:row>
    <x:row r="57">
      <x:c r="A57" s="96" t="str">
        <x:v>qsk19 cummins specs</x:v>
      </x:c>
      <x:c r="B57" s="97" t="n">
        <x:v>1</x:v>
      </x:c>
      <x:c r="C57" s="97" t="n">
        <x:v>7</x:v>
      </x:c>
      <x:c r="D57" s="96" t="str">
        <x:v>Cummins</x:v>
      </x:c>
      <x:c r="E57" s="96" t="str">
        <x:v>Informational</x:v>
      </x:c>
      <x:c r="F57" s="96" t="str">
        <x:v>Low</x:v>
      </x:c>
      <x:c r="G57" s="96" t="str">
        <x:v>Monitor / ignore</x:v>
      </x:c>
      <x:c r="H57" s="96" t="str">
        <x:v>https://keywordseverywhere.com/tools/keyword-gap-analysis/</x:v>
      </x:c>
    </x:row>
    <x:row r="58">
      <x:c r="A58" s="96" t="str">
        <x:v>mtu diesel marine engines</x:v>
      </x:c>
      <x:c r="B58" s="97" t="n">
        <x:v>1</x:v>
      </x:c>
      <x:c r="C58" s="97" t="n">
        <x:v>39</x:v>
      </x:c>
      <x:c r="D58" s="96" t="str">
        <x:v>MTU</x:v>
      </x:c>
      <x:c r="E58" s="96" t="str">
        <x:v>Informational</x:v>
      </x:c>
      <x:c r="F58" s="96" t="str">
        <x:v>High</x:v>
      </x:c>
      <x:c r="G58" s="96" t="str">
        <x:v>Review now</x:v>
      </x:c>
      <x:c r="H58" s="96" t="str">
        <x:v>https://keywordseverywhere.com/tools/keyword-gap-analysis/</x:v>
      </x:c>
    </x:row>
    <x:row r="59">
      <x:c r="A59" s="96" t="str">
        <x:v>mtu diesel engines</x:v>
      </x:c>
      <x:c r="B59" s="97" t="n">
        <x:v>1</x:v>
      </x:c>
      <x:c r="C59" s="97" t="n">
        <x:v>28</x:v>
      </x:c>
      <x:c r="D59" s="96" t="str">
        <x:v>MTU</x:v>
      </x:c>
      <x:c r="E59" s="96" t="str">
        <x:v>Informational</x:v>
      </x:c>
      <x:c r="F59" s="96" t="str">
        <x:v>High</x:v>
      </x:c>
      <x:c r="G59" s="96" t="str">
        <x:v>Review now</x:v>
      </x:c>
      <x:c r="H59" s="96" t="str">
        <x:v>https://keywordseverywhere.com/tools/keyword-gap-analysis/</x:v>
      </x:c>
    </x:row>
    <x:row r="60">
      <x:c r="A60" s="96" t="str">
        <x:v>ism cummins horsepower</x:v>
      </x:c>
      <x:c r="B60" s="97" t="n">
        <x:v>1</x:v>
      </x:c>
      <x:c r="C60" s="97" t="n">
        <x:v>14</x:v>
      </x:c>
      <x:c r="D60" s="96" t="str">
        <x:v>Cummins</x:v>
      </x:c>
      <x:c r="E60" s="96" t="str">
        <x:v>Informational</x:v>
      </x:c>
      <x:c r="F60" s="96" t="str">
        <x:v>Low</x:v>
      </x:c>
      <x:c r="G60" s="96" t="str">
        <x:v>Monitor / ignore</x:v>
      </x:c>
      <x:c r="H60" s="96" t="str">
        <x:v>https://keywordseverywhere.com/tools/keyword-gap-analysis/</x:v>
      </x:c>
    </x:row>
    <x:row r="61">
      <x:c r="A61" s="96" t="str">
        <x:v>6cta8 3 cummins</x:v>
      </x:c>
      <x:c r="B61" s="97" t="n">
        <x:v>0</x:v>
      </x:c>
      <x:c r="C61" s="97" t="n">
        <x:v>82</x:v>
      </x:c>
      <x:c r="D61" s="96" t="str">
        <x:v>Cummins</x:v>
      </x:c>
      <x:c r="E61" s="96" t="str">
        <x:v>Informational</x:v>
      </x:c>
      <x:c r="F61" s="96" t="str">
        <x:v>Low</x:v>
      </x:c>
      <x:c r="G61" s="96" t="str">
        <x:v>Monitor / ignore</x:v>
      </x:c>
      <x:c r="H61" s="96" t="str">
        <x:v>https://keywordseverywhere.com/tools/keyword-gap-analysis/</x:v>
      </x:c>
    </x:row>
    <x:row r="62">
      <x:c r="A62" s="96" t="str">
        <x:v>deutz 6-cylinder diesel engine</x:v>
      </x:c>
      <x:c r="B62" s="97" t="n">
        <x:v>0</x:v>
      </x:c>
      <x:c r="C62" s="97" t="n">
        <x:v>16</x:v>
      </x:c>
      <x:c r="D62" s="96" t="str">
        <x:v>Deutz</x:v>
      </x:c>
      <x:c r="E62" s="96" t="str">
        <x:v>Informational</x:v>
      </x:c>
      <x:c r="F62" s="96" t="str">
        <x:v>Medium</x:v>
      </x:c>
      <x:c r="G62" s="96" t="str">
        <x:v>Monitor / ignore</x:v>
      </x:c>
      <x:c r="H62" s="96" t="str">
        <x:v>https://keywordseverywhere.com/tools/keyword-gap-analysis/</x:v>
      </x:c>
    </x:row>
    <x:row r="63">
      <x:c r="A63" s="96" t="str">
        <x:v>deutz diesel engines</x:v>
      </x:c>
      <x:c r="B63" s="97" t="n">
        <x:v>0</x:v>
      </x:c>
      <x:c r="C63" s="97" t="n">
        <x:v>26</x:v>
      </x:c>
      <x:c r="D63" s="96" t="str">
        <x:v>Deutz</x:v>
      </x:c>
      <x:c r="E63" s="96" t="str">
        <x:v>Informational</x:v>
      </x:c>
      <x:c r="F63" s="96" t="str">
        <x:v>Medium</x:v>
      </x:c>
      <x:c r="G63" s="96" t="str">
        <x:v>Monitor / ignore</x:v>
      </x:c>
      <x:c r="H63" s="96" t="str">
        <x:v>https://keywordseverywhere.com/tools/keyword-gap-analysis/</x:v>
      </x:c>
    </x:row>
    <x:row r="64">
      <x:c r="A64" s="96" t="str">
        <x:v>deutz diesel engine parts</x:v>
      </x:c>
      <x:c r="B64" s="97" t="n">
        <x:v>0</x:v>
      </x:c>
      <x:c r="C64" s="97" t="n">
        <x:v>21</x:v>
      </x:c>
      <x:c r="D64" s="96" t="str">
        <x:v>Deutz</x:v>
      </x:c>
      <x:c r="E64" s="96" t="str">
        <x:v>Commercial</x:v>
      </x:c>
      <x:c r="F64" s="96" t="str">
        <x:v>High</x:v>
      </x:c>
      <x:c r="G64" s="96" t="str">
        <x:v>Review</x:v>
      </x:c>
      <x:c r="H64" s="96" t="str">
        <x:v>https://keywordseverywhere.com/tools/keyword-gap-analysis/</x:v>
      </x:c>
    </x:row>
    <x:row r="65">
      <x:c r="A65" s="96" t="str">
        <x:v>deutz air cooled tractor</x:v>
      </x:c>
      <x:c r="B65" s="97" t="n">
        <x:v>0</x:v>
      </x:c>
      <x:c r="C65" s="97" t="n">
        <x:v>14</x:v>
      </x:c>
      <x:c r="D65" s="96" t="str">
        <x:v>Deutz</x:v>
      </x:c>
      <x:c r="E65" s="96" t="str">
        <x:v>Informational</x:v>
      </x:c>
      <x:c r="F65" s="96" t="str">
        <x:v>Low</x:v>
      </x:c>
      <x:c r="G65" s="96" t="str">
        <x:v>Monitor / ignore</x:v>
      </x:c>
      <x:c r="H65" s="96" t="str">
        <x:v>https://keywordseverywhere.com/tools/keyword-gap-analysis/</x:v>
      </x:c>
    </x:row>
    <x:row r="66">
      <x:c r="A66" s="96" t="str">
        <x:v>deutz 4 cylinder diesel engine</x:v>
      </x:c>
      <x:c r="B66" s="97" t="n">
        <x:v>0</x:v>
      </x:c>
      <x:c r="C66" s="97" t="n">
        <x:v>39</x:v>
      </x:c>
      <x:c r="D66" s="96" t="str">
        <x:v>Deutz</x:v>
      </x:c>
      <x:c r="E66" s="96" t="str">
        <x:v>Informational</x:v>
      </x:c>
      <x:c r="F66" s="96" t="str">
        <x:v>Medium</x:v>
      </x:c>
      <x:c r="G66" s="96" t="str">
        <x:v>Monitor / ignore</x:v>
      </x:c>
      <x:c r="H66" s="96" t="str">
        <x:v>https://keywordseverywhere.com/tools/keyword-gap-analysis/</x:v>
      </x:c>
    </x:row>
    <x:row r="67">
      <x:c r="A67" s="96" t="str">
        <x:v>deutz 6 cylinder air-cooled diesel engine</x:v>
      </x:c>
      <x:c r="B67" s="97" t="n">
        <x:v>0</x:v>
      </x:c>
      <x:c r="C67" s="97" t="n">
        <x:v>15</x:v>
      </x:c>
      <x:c r="D67" s="96" t="str">
        <x:v>Deutz</x:v>
      </x:c>
      <x:c r="E67" s="96" t="str">
        <x:v>Informational</x:v>
      </x:c>
      <x:c r="F67" s="96" t="str">
        <x:v>Medium</x:v>
      </x:c>
      <x:c r="G67" s="96" t="str">
        <x:v>Monitor / ignore</x:v>
      </x:c>
      <x:c r="H67" s="96" t="str">
        <x:v>https://keywordseverywhere.com/tools/keyword-gap-analysis/</x:v>
      </x:c>
    </x:row>
    <x:row r="68">
      <x:c r="A68" s="96" t="str">
        <x:v>deutz 4-cylinder air cooled diesel engine</x:v>
      </x:c>
      <x:c r="B68" s="97" t="n">
        <x:v>0</x:v>
      </x:c>
      <x:c r="C68" s="97" t="n">
        <x:v>53</x:v>
      </x:c>
      <x:c r="D68" s="96" t="str">
        <x:v>Deutz</x:v>
      </x:c>
      <x:c r="E68" s="96" t="str">
        <x:v>Informational</x:v>
      </x:c>
      <x:c r="F68" s="96" t="str">
        <x:v>Medium</x:v>
      </x:c>
      <x:c r="G68" s="96" t="str">
        <x:v>Monitor / ignore</x:v>
      </x:c>
      <x:c r="H68" s="96" t="str">
        <x:v>https://keywordseverywhere.com/tools/keyword-gap-analysis/</x:v>
      </x:c>
    </x:row>
    <x:row r="69">
      <x:c r="A69" s="96" t="str">
        <x:v>deutz engine models</x:v>
      </x:c>
      <x:c r="B69" s="97" t="n">
        <x:v>0</x:v>
      </x:c>
      <x:c r="C69" s="97" t="n">
        <x:v>11</x:v>
      </x:c>
      <x:c r="D69" s="96" t="str">
        <x:v>Deutz</x:v>
      </x:c>
      <x:c r="E69" s="96" t="str">
        <x:v>Informational</x:v>
      </x:c>
      <x:c r="F69" s="96" t="str">
        <x:v>Medium</x:v>
      </x:c>
      <x:c r="G69" s="96" t="str">
        <x:v>Monitor / ignore</x:v>
      </x:c>
      <x:c r="H69" s="96" t="str">
        <x:v>https://keywordseverywhere.com/tools/keyword-gap-analysis/</x:v>
      </x:c>
    </x:row>
    <x:row r="70">
      <x:c r="A70" s="96" t="str">
        <x:v>deutz 3 cylinder diesel</x:v>
      </x:c>
      <x:c r="B70" s="97" t="n">
        <x:v>0</x:v>
      </x:c>
      <x:c r="C70" s="97" t="n">
        <x:v>40</x:v>
      </x:c>
      <x:c r="D70" s="96" t="str">
        <x:v>Deutz</x:v>
      </x:c>
      <x:c r="E70" s="96" t="str">
        <x:v>Informational</x:v>
      </x:c>
      <x:c r="F70" s="96" t="str">
        <x:v>Medium</x:v>
      </x:c>
      <x:c r="G70" s="96" t="str">
        <x:v>Monitor / ignore</x:v>
      </x:c>
      <x:c r="H70" s="96" t="str">
        <x:v>https://keywordseverywhere.com/tools/keyword-gap-analysis/</x:v>
      </x:c>
    </x:row>
    <x:row r="71">
      <x:c r="A71" s="96" t="str">
        <x:v>deutz 2 cylinder engine</x:v>
      </x:c>
      <x:c r="B71" s="97" t="n">
        <x:v>0</x:v>
      </x:c>
      <x:c r="C71" s="97" t="n">
        <x:v>12</x:v>
      </x:c>
      <x:c r="D71" s="96" t="str">
        <x:v>Deutz</x:v>
      </x:c>
      <x:c r="E71" s="96" t="str">
        <x:v>Informational</x:v>
      </x:c>
      <x:c r="F71" s="96" t="str">
        <x:v>Medium</x:v>
      </x:c>
      <x:c r="G71" s="96" t="str">
        <x:v>Monitor / ignore</x:v>
      </x:c>
      <x:c r="H71" s="96" t="str">
        <x:v>https://keywordseverywhere.com/tools/keyword-gap-analysis/</x:v>
      </x:c>
    </x:row>
    <x:row r="72">
      <x:c r="A72" s="96" t="str">
        <x:v>deutz 2 cylinder air-cooled diesel engine</x:v>
      </x:c>
      <x:c r="B72" s="97" t="n">
        <x:v>0</x:v>
      </x:c>
      <x:c r="C72" s="97" t="n">
        <x:v>16</x:v>
      </x:c>
      <x:c r="D72" s="96" t="str">
        <x:v>Deutz</x:v>
      </x:c>
      <x:c r="E72" s="96" t="str">
        <x:v>Informational</x:v>
      </x:c>
      <x:c r="F72" s="96" t="str">
        <x:v>Medium</x:v>
      </x:c>
      <x:c r="G72" s="96" t="str">
        <x:v>Monitor / ignore</x:v>
      </x:c>
      <x:c r="H72" s="96" t="str">
        <x:v>https://keywordseverywhere.com/tools/keyword-gap-analysis/</x:v>
      </x:c>
    </x:row>
    <x:row r="73">
      <x:c r="A73" s="96" t="str">
        <x:v>engine family</x:v>
      </x:c>
      <x:c r="B73" s="97" t="n">
        <x:v>0</x:v>
      </x:c>
      <x:c r="C73" s="97" t="n">
        <x:v>25</x:v>
      </x:c>
      <x:c r="D73" s="96" t="str">
        <x:v>Generic</x:v>
      </x:c>
      <x:c r="E73" s="96" t="str">
        <x:v>Informational</x:v>
      </x:c>
      <x:c r="F73" s="96" t="str">
        <x:v>Medium</x:v>
      </x:c>
      <x:c r="G73" s="96" t="str">
        <x:v>Monitor / ignore</x:v>
      </x:c>
      <x:c r="H73" s="96" t="str">
        <x:v>https://keywordseverywhere.com/tools/keyword-gap-analysis/</x:v>
      </x:c>
    </x:row>
    <x:row r="74">
      <x:c r="A74" s="96" t="str">
        <x:v>deutz diesel engines for sale</x:v>
      </x:c>
      <x:c r="B74" s="97" t="n">
        <x:v>0</x:v>
      </x:c>
      <x:c r="C74" s="97" t="n">
        <x:v>79</x:v>
      </x:c>
      <x:c r="D74" s="96" t="str">
        <x:v>Deutz</x:v>
      </x:c>
      <x:c r="E74" s="96" t="str">
        <x:v>Transactional</x:v>
      </x:c>
      <x:c r="F74" s="96" t="str">
        <x:v>Medium</x:v>
      </x:c>
      <x:c r="G74" s="96" t="str">
        <x:v>Monitor / ignore</x:v>
      </x:c>
      <x:c r="H74" s="96" t="str">
        <x:v>https://keywordseverywhere.com/tools/keyword-gap-analysis/</x:v>
      </x:c>
    </x:row>
    <x:row r="75">
      <x:c r="A75" s="96" t="str">
        <x:v>deutz motors for sale</x:v>
      </x:c>
      <x:c r="B75" s="97" t="n">
        <x:v>0</x:v>
      </x:c>
      <x:c r="C75" s="97" t="n">
        <x:v>96</x:v>
      </x:c>
      <x:c r="D75" s="96" t="str">
        <x:v>Deutz</x:v>
      </x:c>
      <x:c r="E75" s="96" t="str">
        <x:v>Transactional</x:v>
      </x:c>
      <x:c r="F75" s="96" t="str">
        <x:v>Low</x:v>
      </x:c>
      <x:c r="G75" s="96" t="str">
        <x:v>Monitor / ignore</x:v>
      </x:c>
      <x:c r="H75" s="96" t="str">
        <x:v>https://keywordseverywhere.com/tools/keyword-gap-analysis/</x:v>
      </x:c>
    </x:row>
    <x:row r="76">
      <x:c r="A76" s="96" t="str">
        <x:v>deutz f3l912</x:v>
      </x:c>
      <x:c r="B76" s="97" t="n">
        <x:v>0</x:v>
      </x:c>
      <x:c r="C76" s="97" t="n">
        <x:v>54</x:v>
      </x:c>
      <x:c r="D76" s="96" t="str">
        <x:v>Deutz</x:v>
      </x:c>
      <x:c r="E76" s="96" t="str">
        <x:v>Informational</x:v>
      </x:c>
      <x:c r="F76" s="96" t="str">
        <x:v>Low</x:v>
      </x:c>
      <x:c r="G76" s="96" t="str">
        <x:v>Monitor / ignore</x:v>
      </x:c>
      <x:c r="H76" s="96" t="str">
        <x:v>https://keywordseverywhere.com/tools/keyword-gap-analysis/</x:v>
      </x:c>
    </x:row>
    <x:row r="77">
      <x:c r="A77" s="96" t="str">
        <x:v>deutz f6l912</x:v>
      </x:c>
      <x:c r="B77" s="97" t="n">
        <x:v>0</x:v>
      </x:c>
      <x:c r="C77" s="97" t="n">
        <x:v>30</x:v>
      </x:c>
      <x:c r="D77" s="96" t="str">
        <x:v>Deutz</x:v>
      </x:c>
      <x:c r="E77" s="96" t="str">
        <x:v>Informational</x:v>
      </x:c>
      <x:c r="F77" s="96" t="str">
        <x:v>Low</x:v>
      </x:c>
      <x:c r="G77" s="96" t="str">
        <x:v>Monitor / ignore</x:v>
      </x:c>
      <x:c r="H77" s="96" t="str">
        <x:v>https://keywordseverywhere.com/tools/keyword-gap-analysis/</x:v>
      </x:c>
    </x:row>
    <x:row r="78">
      <x:c r="A78" s="96" t="str">
        <x:v>6 cylinder deutz engine</x:v>
      </x:c>
      <x:c r="B78" s="97" t="n">
        <x:v>0</x:v>
      </x:c>
      <x:c r="C78" s="97" t="n">
        <x:v>19</x:v>
      </x:c>
      <x:c r="D78" s="96" t="str">
        <x:v>Deutz</x:v>
      </x:c>
      <x:c r="E78" s="96" t="str">
        <x:v>Informational</x:v>
      </x:c>
      <x:c r="F78" s="96" t="str">
        <x:v>Medium</x:v>
      </x:c>
      <x:c r="G78" s="96" t="str">
        <x:v>Monitor / ignore</x:v>
      </x:c>
      <x:c r="H78" s="96" t="str">
        <x:v>https://keywordseverywhere.com/tools/keyword-gap-analysis/</x:v>
      </x:c>
    </x:row>
    <x:row r="79">
      <x:c r="A79" s="96" t="str">
        <x:v>diesel engine for generator</x:v>
      </x:c>
      <x:c r="B79" s="97" t="n">
        <x:v>0</x:v>
      </x:c>
      <x:c r="C79" s="97" t="n">
        <x:v>22</x:v>
      </x:c>
      <x:c r="D79" s="96" t="str">
        <x:v>Generic</x:v>
      </x:c>
      <x:c r="E79" s="96" t="str">
        <x:v>Informational</x:v>
      </x:c>
      <x:c r="F79" s="96" t="str">
        <x:v>Medium</x:v>
      </x:c>
      <x:c r="G79" s="96" t="str">
        <x:v>Monitor / ignore</x:v>
      </x:c>
      <x:c r="H79" s="96" t="str">
        <x:v>https://keywordseverywhere.com/tools/keyword-gap-analysis/</x:v>
      </x:c>
    </x:row>
    <x:row r="80">
      <x:c r="A80" s="96" t="str">
        <x:v>19l cummins engine</x:v>
      </x:c>
      <x:c r="B80" s="97" t="n">
        <x:v>0</x:v>
      </x:c>
      <x:c r="C80" s="97" t="n">
        <x:v>86</x:v>
      </x:c>
      <x:c r="D80" s="96" t="str">
        <x:v>Cummins</x:v>
      </x:c>
      <x:c r="E80" s="96" t="str">
        <x:v>Informational</x:v>
      </x:c>
      <x:c r="F80" s="96" t="str">
        <x:v>Medium</x:v>
      </x:c>
      <x:c r="G80" s="96" t="str">
        <x:v>Monitor / ignore</x:v>
      </x:c>
      <x:c r="H80" s="96" t="str">
        <x:v>https://keywordseverywhere.com/tools/keyword-gap-analysis/</x:v>
      </x:c>
    </x:row>
    <x:row r="81">
      <x:c r="A81" s="96" t="str">
        <x:v>diesel generator motor</x:v>
      </x:c>
      <x:c r="B81" s="97" t="n">
        <x:v>0</x:v>
      </x:c>
      <x:c r="C81" s="97" t="n">
        <x:v>33</x:v>
      </x:c>
      <x:c r="D81" s="96" t="str">
        <x:v>Generic</x:v>
      </x:c>
      <x:c r="E81" s="96" t="str">
        <x:v>Informational</x:v>
      </x:c>
      <x:c r="F81" s="96" t="str">
        <x:v>Medium</x:v>
      </x:c>
      <x:c r="G81" s="96" t="str">
        <x:v>Monitor / ignore</x:v>
      </x:c>
      <x:c r="H81" s="96" t="str">
        <x:v>https://keywordseverywhere.com/tools/keyword-gap-analysis/</x:v>
      </x:c>
    </x:row>
    <x:row r="82">
      <x:c r="A82" s="96" t="str">
        <x:v>genuine parts cummins</x:v>
      </x:c>
      <x:c r="B82" s="97" t="n">
        <x:v>0</x:v>
      </x:c>
      <x:c r="C82" s="97" t="n">
        <x:v>33</x:v>
      </x:c>
      <x:c r="D82" s="96" t="str">
        <x:v>Cummins</x:v>
      </x:c>
      <x:c r="E82" s="96" t="str">
        <x:v>Transactional</x:v>
      </x:c>
      <x:c r="F82" s="96" t="str">
        <x:v>Low</x:v>
      </x:c>
      <x:c r="G82" s="96" t="str">
        <x:v>Monitor / ignore</x:v>
      </x:c>
      <x:c r="H82" s="96" t="str">
        <x:v>https://keywordseverywhere.com/tools/keyword-gap-analysis/</x:v>
      </x:c>
    </x:row>
    <x:row r="83">
      <x:c r="A83" s="96" t="str">
        <x:v>agri diesel</x:v>
      </x:c>
      <x:c r="B83" s="97" t="n">
        <x:v>0</x:v>
      </x:c>
      <x:c r="C83" s="97" t="n">
        <x:v>43</x:v>
      </x:c>
      <x:c r="D83" s="96" t="str">
        <x:v>Generic</x:v>
      </x:c>
      <x:c r="E83" s="96" t="str">
        <x:v>Informational</x:v>
      </x:c>
      <x:c r="F83" s="96" t="str">
        <x:v>Medium</x:v>
      </x:c>
      <x:c r="G83" s="96" t="str">
        <x:v>Monitor / ignore</x:v>
      </x:c>
      <x:c r="H83" s="96" t="str">
        <x:v>https://keywordseverywhere.com/tools/keyword-gap-analysis/</x:v>
      </x:c>
    </x:row>
    <x:row r="84">
      <x:c r="A84" s="96" t="str">
        <x:v>855 cummins engine</x:v>
      </x:c>
      <x:c r="B84" s="97" t="n">
        <x:v>0</x:v>
      </x:c>
      <x:c r="C84" s="97" t="n">
        <x:v>66</x:v>
      </x:c>
      <x:c r="D84" s="96" t="str">
        <x:v>Cummins</x:v>
      </x:c>
      <x:c r="E84" s="96" t="str">
        <x:v>Informational</x:v>
      </x:c>
      <x:c r="F84" s="96" t="str">
        <x:v>Medium</x:v>
      </x:c>
      <x:c r="G84" s="96" t="str">
        <x:v>Monitor / ignore</x:v>
      </x:c>
      <x:c r="H84" s="96" t="str">
        <x:v>https://keywordseverywhere.com/tools/keyword-gap-analysis/</x:v>
      </x:c>
    </x:row>
    <x:row r="85">
      <x:c r="A85" s="96" t="str">
        <x:v>855 cummins horsepower</x:v>
      </x:c>
      <x:c r="B85" s="97" t="n">
        <x:v>0</x:v>
      </x:c>
      <x:c r="C85" s="97" t="n">
        <x:v>35</x:v>
      </x:c>
      <x:c r="D85" s="96" t="str">
        <x:v>Cummins</x:v>
      </x:c>
      <x:c r="E85" s="96" t="str">
        <x:v>Informational</x:v>
      </x:c>
      <x:c r="F85" s="96" t="str">
        <x:v>Low</x:v>
      </x:c>
      <x:c r="G85" s="96" t="str">
        <x:v>Monitor / ignore</x:v>
      </x:c>
      <x:c r="H85" s="96" t="str">
        <x:v>https://keywordseverywhere.com/tools/keyword-gap-analysis/</x:v>
      </x:c>
    </x:row>
    <x:row r="86">
      <x:c r="A86" s="96" t="str">
        <x:v>855 cummins hp</x:v>
      </x:c>
      <x:c r="B86" s="97" t="n">
        <x:v>0</x:v>
      </x:c>
      <x:c r="C86" s="97" t="n">
        <x:v>48</x:v>
      </x:c>
      <x:c r="D86" s="96" t="str">
        <x:v>Cummins</x:v>
      </x:c>
      <x:c r="E86" s="96" t="str">
        <x:v>Informational</x:v>
      </x:c>
      <x:c r="F86" s="96" t="str">
        <x:v>Low</x:v>
      </x:c>
      <x:c r="G86" s="96" t="str">
        <x:v>Monitor / ignore</x:v>
      </x:c>
      <x:c r="H86" s="96" t="str">
        <x:v>https://keywordseverywhere.com/tools/keyword-gap-analysis/</x:v>
      </x:c>
    </x:row>
    <x:row r="87">
      <x:c r="A87" s="96" t="str">
        <x:v>8.9 cummins specs</x:v>
      </x:c>
      <x:c r="B87" s="97" t="n">
        <x:v>0</x:v>
      </x:c>
      <x:c r="C87" s="97" t="n">
        <x:v>46</x:v>
      </x:c>
      <x:c r="D87" s="96" t="str">
        <x:v>Cummins</x:v>
      </x:c>
      <x:c r="E87" s="96" t="str">
        <x:v>Informational</x:v>
      </x:c>
      <x:c r="F87" s="96" t="str">
        <x:v>Low</x:v>
      </x:c>
      <x:c r="G87" s="96" t="str">
        <x:v>Monitor / ignore</x:v>
      </x:c>
      <x:c r="H87" s="96" t="str">
        <x:v>https://keywordseverywhere.com/tools/keyword-gap-analysis/</x:v>
      </x:c>
    </x:row>
    <x:row r="88">
      <x:c r="A88" s="96" t="str">
        <x:v>6bta5.9 cummins</x:v>
      </x:c>
      <x:c r="B88" s="97" t="n">
        <x:v>0</x:v>
      </x:c>
      <x:c r="C88" s="97" t="n">
        <x:v>39</x:v>
      </x:c>
      <x:c r="D88" s="96" t="str">
        <x:v>Cummins</x:v>
      </x:c>
      <x:c r="E88" s="96" t="str">
        <x:v>Informational</x:v>
      </x:c>
      <x:c r="F88" s="96" t="str">
        <x:v>Low</x:v>
      </x:c>
      <x:c r="G88" s="96" t="str">
        <x:v>Monitor / ignore</x:v>
      </x:c>
      <x:c r="H88" s="96" t="str">
        <x:v>https://keywordseverywhere.com/tools/keyword-gap-analysis/</x:v>
      </x:c>
    </x:row>
    <x:row r="89">
      <x:c r="A89" s="96" t="str">
        <x:v>a1 gasket</x:v>
      </x:c>
      <x:c r="B89" s="97" t="n">
        <x:v>0</x:v>
      </x:c>
      <x:c r="C89" s="97" t="n">
        <x:v>43</x:v>
      </x:c>
      <x:c r="D89" s="96" t="str">
        <x:v>Generic</x:v>
      </x:c>
      <x:c r="E89" s="96" t="str">
        <x:v>Commercial</x:v>
      </x:c>
      <x:c r="F89" s="96" t="str">
        <x:v>High</x:v>
      </x:c>
      <x:c r="G89" s="96" t="str">
        <x:v>Review</x:v>
      </x:c>
      <x:c r="H89" s="96" t="str">
        <x:v>https://keywordseverywhere.com/tools/keyword-gap-analysis/</x:v>
      </x:c>
    </x:row>
    <x:row r="90">
      <x:c r="A90" s="96" t="str">
        <x:v>engine families</x:v>
      </x:c>
      <x:c r="B90" s="97" t="n">
        <x:v>0</x:v>
      </x:c>
      <x:c r="C90" s="97" t="n">
        <x:v>31</x:v>
      </x:c>
      <x:c r="D90" s="96" t="str">
        <x:v>Generic</x:v>
      </x:c>
      <x:c r="E90" s="96" t="str">
        <x:v>Informational</x:v>
      </x:c>
      <x:c r="F90" s="96" t="str">
        <x:v>Medium</x:v>
      </x:c>
      <x:c r="G90" s="96" t="str">
        <x:v>Monitor / ignore</x:v>
      </x:c>
      <x:c r="H90" s="96" t="str">
        <x:v>https://keywordseverywhere.com/tools/keyword-gap-analysis/</x:v>
      </x:c>
    </x:row>
    <x:row r="91">
      <x:c r="A91" s="96" t="str">
        <x:v>cummins v16 engine</x:v>
      </x:c>
      <x:c r="B91" s="97" t="n">
        <x:v>0</x:v>
      </x:c>
      <x:c r="C91" s="97" t="n">
        <x:v>94</x:v>
      </x:c>
      <x:c r="D91" s="96" t="str">
        <x:v>Cummins</x:v>
      </x:c>
      <x:c r="E91" s="96" t="str">
        <x:v>Informational</x:v>
      </x:c>
      <x:c r="F91" s="96" t="str">
        <x:v>Medium</x:v>
      </x:c>
      <x:c r="G91" s="96" t="str">
        <x:v>Monitor / ignore</x:v>
      </x:c>
      <x:c r="H91" s="96" t="str">
        <x:v>https://keywordseverywhere.com/tools/keyword-gap-analysis/</x:v>
      </x:c>
    </x:row>
    <x:row r="92">
      <x:c r="A92" s="96" t="str">
        <x:v>1600/4000</x:v>
      </x:c>
      <x:c r="B92" s="97" t="n">
        <x:v>0</x:v>
      </x:c>
      <x:c r="C92" s="97" t="n">
        <x:v>99</x:v>
      </x:c>
      <x:c r="D92" s="96" t="str">
        <x:v>Generic</x:v>
      </x:c>
      <x:c r="E92" s="96" t="str">
        <x:v>Informational</x:v>
      </x:c>
      <x:c r="F92" s="96" t="str">
        <x:v>Low</x:v>
      </x:c>
      <x:c r="G92" s="96" t="str">
        <x:v>Monitor / ignore</x:v>
      </x:c>
      <x:c r="H92" s="96" t="str">
        <x:v>https://keywordseverywhere.com/tools/keyword-gap-analysis/</x:v>
      </x:c>
    </x:row>
    <x:row r="93">
      <x:c r="A93" s="96" t="str">
        <x:v>cummins kta50</x:v>
      </x:c>
      <x:c r="B93" s="97" t="n">
        <x:v>0</x:v>
      </x:c>
      <x:c r="C93" s="97" t="n">
        <x:v>16</x:v>
      </x:c>
      <x:c r="D93" s="96" t="str">
        <x:v>Cummins</x:v>
      </x:c>
      <x:c r="E93" s="96" t="str">
        <x:v>Informational</x:v>
      </x:c>
      <x:c r="F93" s="96" t="str">
        <x:v>Low</x:v>
      </x:c>
      <x:c r="G93" s="96" t="str">
        <x:v>Monitor / ignore</x:v>
      </x:c>
      <x:c r="H93" s="96" t="str">
        <x:v>https://keywordseverywhere.com/tools/keyword-gap-analysis/</x:v>
      </x:c>
    </x:row>
    <x:row r="94">
      <x:c r="A94" s="96" t="str">
        <x:v>cummins engine family names</x:v>
      </x:c>
      <x:c r="B94" s="97" t="n">
        <x:v>0</x:v>
      </x:c>
      <x:c r="C94" s="97" t="n">
        <x:v>78</x:v>
      </x:c>
      <x:c r="D94" s="96" t="str">
        <x:v>Cummins</x:v>
      </x:c>
      <x:c r="E94" s="96" t="str">
        <x:v>Informational</x:v>
      </x:c>
      <x:c r="F94" s="96" t="str">
        <x:v>Medium</x:v>
      </x:c>
      <x:c r="G94" s="96" t="str">
        <x:v>Monitor / ignore</x:v>
      </x:c>
      <x:c r="H94" s="96" t="str">
        <x:v>https://keywordseverywhere.com/tools/keyword-gap-analysis/</x:v>
      </x:c>
    </x:row>
    <x:row r="95">
      <x:c r="A95" s="96" t="str">
        <x:v>cummins engine isl</x:v>
      </x:c>
      <x:c r="B95" s="97" t="n">
        <x:v>0</x:v>
      </x:c>
      <x:c r="C95" s="97" t="n">
        <x:v>61</x:v>
      </x:c>
      <x:c r="D95" s="96" t="str">
        <x:v>Cummins</x:v>
      </x:c>
      <x:c r="E95" s="96" t="str">
        <x:v>Informational</x:v>
      </x:c>
      <x:c r="F95" s="96" t="str">
        <x:v>Medium</x:v>
      </x:c>
      <x:c r="G95" s="96" t="str">
        <x:v>Monitor / ignore</x:v>
      </x:c>
      <x:c r="H95" s="96" t="str">
        <x:v>https://keywordseverywhere.com/tools/keyword-gap-analysis/</x:v>
      </x:c>
    </x:row>
    <x:row r="96">
      <x:c r="A96" s="96" t="str">
        <x:v>cummins engines specs</x:v>
      </x:c>
      <x:c r="B96" s="97" t="n">
        <x:v>0</x:v>
      </x:c>
      <x:c r="C96" s="97" t="n">
        <x:v>69</x:v>
      </x:c>
      <x:c r="D96" s="96" t="str">
        <x:v>Cummins</x:v>
      </x:c>
      <x:c r="E96" s="96" t="str">
        <x:v>Informational</x:v>
      </x:c>
      <x:c r="F96" s="96" t="str">
        <x:v>Medium</x:v>
      </x:c>
      <x:c r="G96" s="96" t="str">
        <x:v>Monitor / ignore</x:v>
      </x:c>
      <x:c r="H96" s="96" t="str">
        <x:v>https://keywordseverywhere.com/tools/keyword-gap-analysis/</x:v>
      </x:c>
    </x:row>
    <x:row r="97">
      <x:c r="A97" s="96" t="str">
        <x:v>cummins ism 350</x:v>
      </x:c>
      <x:c r="B97" s="97" t="n">
        <x:v>0</x:v>
      </x:c>
      <x:c r="C97" s="97" t="n">
        <x:v>57</x:v>
      </x:c>
      <x:c r="D97" s="96" t="str">
        <x:v>Cummins</x:v>
      </x:c>
      <x:c r="E97" s="96" t="str">
        <x:v>Informational</x:v>
      </x:c>
      <x:c r="F97" s="96" t="str">
        <x:v>Low</x:v>
      </x:c>
      <x:c r="G97" s="96" t="str">
        <x:v>Monitor / ignore</x:v>
      </x:c>
      <x:c r="H97" s="96" t="str">
        <x:v>https://keywordseverywhere.com/tools/keyword-gap-analysis/</x:v>
      </x:c>
    </x:row>
    <x:row r="98">
      <x:c r="A98" s="96" t="str">
        <x:v>cummins ism 500</x:v>
      </x:c>
      <x:c r="B98" s="97" t="n">
        <x:v>0</x:v>
      </x:c>
      <x:c r="C98" s="97" t="n">
        <x:v>53</x:v>
      </x:c>
      <x:c r="D98" s="96" t="str">
        <x:v>Cummins</x:v>
      </x:c>
      <x:c r="E98" s="96" t="str">
        <x:v>Informational</x:v>
      </x:c>
      <x:c r="F98" s="96" t="str">
        <x:v>Low</x:v>
      </x:c>
      <x:c r="G98" s="96" t="str">
        <x:v>Monitor / ignore</x:v>
      </x:c>
      <x:c r="H98" s="96" t="str">
        <x:v>https://keywordseverywhere.com/tools/keyword-gap-analysis/</x:v>
      </x:c>
    </x:row>
    <x:row r="99">
      <x:c r="A99" s="96" t="str">
        <x:v>cummins 8.9l engine</x:v>
      </x:c>
      <x:c r="B99" s="97" t="n">
        <x:v>0</x:v>
      </x:c>
      <x:c r="C99" s="97" t="n">
        <x:v>69</x:v>
      </x:c>
      <x:c r="D99" s="96" t="str">
        <x:v>Cummins</x:v>
      </x:c>
      <x:c r="E99" s="96" t="str">
        <x:v>Informational</x:v>
      </x:c>
      <x:c r="F99" s="96" t="str">
        <x:v>Medium</x:v>
      </x:c>
      <x:c r="G99" s="96" t="str">
        <x:v>Monitor / ignore</x:v>
      </x:c>
      <x:c r="H99" s="96" t="str">
        <x:v>https://keywordseverywhere.com/tools/keyword-gap-analysis/</x:v>
      </x:c>
    </x:row>
    <x:row r="100">
      <x:c r="A100" s="96" t="str">
        <x:v>4.5 cummins engine</x:v>
      </x:c>
      <x:c r="B100" s="97" t="n">
        <x:v>0</x:v>
      </x:c>
      <x:c r="C100" s="97" t="n">
        <x:v>80</x:v>
      </x:c>
      <x:c r="D100" s="96" t="str">
        <x:v>Cummins</x:v>
      </x:c>
      <x:c r="E100" s="96" t="str">
        <x:v>Informational</x:v>
      </x:c>
      <x:c r="F100" s="96" t="str">
        <x:v>Medium</x:v>
      </x:c>
      <x:c r="G100" s="96" t="str">
        <x:v>Monitor / ignore</x:v>
      </x:c>
      <x:c r="H100" s="96" t="str">
        <x:v>https://keywordseverywhere.com/tools/keyword-gap-analysis/</x:v>
      </x:c>
    </x:row>
    <x:row r="101">
      <x:c r="A101" s="96" t="str">
        <x:v>cummins k19 engine specifications</x:v>
      </x:c>
      <x:c r="B101" s="97" t="n">
        <x:v>0</x:v>
      </x:c>
      <x:c r="C101" s="97" t="n">
        <x:v>10</x:v>
      </x:c>
      <x:c r="D101" s="96" t="str">
        <x:v>Cummins</x:v>
      </x:c>
      <x:c r="E101" s="96" t="str">
        <x:v>Informational</x:v>
      </x:c>
      <x:c r="F101" s="96" t="str">
        <x:v>Medium</x:v>
      </x:c>
      <x:c r="G101" s="96" t="str">
        <x:v>Monitor / ignore</x:v>
      </x:c>
      <x:c r="H101" s="96" t="str">
        <x:v>https://keywordseverywhere.com/tools/keyword-gap-analysis/</x:v>
      </x:c>
    </x:row>
    <x:row r="102">
      <x:c r="A102" s="96" t="str">
        <x:v>cummins 4.5 isb</x:v>
      </x:c>
      <x:c r="B102" s="97" t="n">
        <x:v>0</x:v>
      </x:c>
      <x:c r="C102" s="97" t="n">
        <x:v>71</x:v>
      </x:c>
      <x:c r="D102" s="96" t="str">
        <x:v>Cummins</x:v>
      </x:c>
      <x:c r="E102" s="96" t="str">
        <x:v>Informational</x:v>
      </x:c>
      <x:c r="F102" s="96" t="str">
        <x:v>Low</x:v>
      </x:c>
      <x:c r="G102" s="96" t="str">
        <x:v>Monitor / ignore</x:v>
      </x:c>
      <x:c r="H102" s="96" t="str">
        <x:v>https://keywordseverywhere.com/tools/keyword-gap-analysis/</x:v>
      </x:c>
    </x:row>
    <x:row r="103">
      <x:c r="A103" s="96" t="str">
        <x:v>cummins 300</x:v>
      </x:c>
      <x:c r="B103" s="97" t="n">
        <x:v>0</x:v>
      </x:c>
      <x:c r="C103" s="97" t="n">
        <x:v>34</x:v>
      </x:c>
      <x:c r="D103" s="96" t="str">
        <x:v>Cummins</x:v>
      </x:c>
      <x:c r="E103" s="96" t="str">
        <x:v>Informational</x:v>
      </x:c>
      <x:c r="F103" s="96" t="str">
        <x:v>Low</x:v>
      </x:c>
      <x:c r="G103" s="96" t="str">
        <x:v>Monitor / ignore</x:v>
      </x:c>
      <x:c r="H103" s="96" t="str">
        <x:v>https://keywordseverywhere.com/tools/keyword-gap-analysis/</x:v>
      </x:c>
    </x:row>
    <x:row r="104">
      <x:c r="A104" s="96" t="str">
        <x:v>cummins kta</x:v>
      </x:c>
      <x:c r="B104" s="97" t="n">
        <x:v>0</x:v>
      </x:c>
      <x:c r="C104" s="97" t="n">
        <x:v>67</x:v>
      </x:c>
      <x:c r="D104" s="96" t="str">
        <x:v>Cummins</x:v>
      </x:c>
      <x:c r="E104" s="96" t="str">
        <x:v>Informational</x:v>
      </x:c>
      <x:c r="F104" s="96" t="str">
        <x:v>Low</x:v>
      </x:c>
      <x:c r="G104" s="96" t="str">
        <x:v>Monitor / ignore</x:v>
      </x:c>
      <x:c r="H104" s="96" t="str">
        <x:v>https://keywordseverywhere.com/tools/keyword-gap-analysis/</x:v>
      </x:c>
    </x:row>
    <x:row r="105">
      <x:c r="A105" s="96" t="str">
        <x:v>cummins 3.8</x:v>
      </x:c>
      <x:c r="B105" s="97" t="n">
        <x:v>0</x:v>
      </x:c>
      <x:c r="C105" s="97" t="n">
        <x:v>19</x:v>
      </x:c>
      <x:c r="D105" s="96" t="str">
        <x:v>Cummins</x:v>
      </x:c>
      <x:c r="E105" s="96" t="str">
        <x:v>Informational</x:v>
      </x:c>
      <x:c r="F105" s="96" t="str">
        <x:v>Low</x:v>
      </x:c>
      <x:c r="G105" s="96" t="str">
        <x:v>Monitor / ignore</x:v>
      </x:c>
      <x:c r="H105" s="96" t="str">
        <x:v>https://keywordseverywhere.com/tools/keyword-gap-analysis/</x:v>
      </x:c>
    </x:row>
    <x:row r="106">
      <x:c r="A106" s="96" t="str">
        <x:v>cummins kta-600 specs</x:v>
      </x:c>
      <x:c r="B106" s="97" t="n">
        <x:v>0</x:v>
      </x:c>
      <x:c r="C106" s="97" t="n">
        <x:v>45</x:v>
      </x:c>
      <x:c r="D106" s="96" t="str">
        <x:v>Cummins</x:v>
      </x:c>
      <x:c r="E106" s="96" t="str">
        <x:v>Informational</x:v>
      </x:c>
      <x:c r="F106" s="96" t="str">
        <x:v>Low</x:v>
      </x:c>
      <x:c r="G106" s="96" t="str">
        <x:v>Monitor / ignore</x:v>
      </x:c>
      <x:c r="H106" s="96" t="str">
        <x:v>https://keywordseverywhere.com/tools/keyword-gap-analysis/</x:v>
      </x:c>
    </x:row>
    <x:row r="107">
      <x:c r="A107" s="96" t="str">
        <x:v>cummins kta50 g3</x:v>
      </x:c>
      <x:c r="B107" s="97" t="n">
        <x:v>0</x:v>
      </x:c>
      <x:c r="C107" s="97" t="n">
        <x:v>32</x:v>
      </x:c>
      <x:c r="D107" s="96" t="str">
        <x:v>Cummins</x:v>
      </x:c>
      <x:c r="E107" s="96" t="str">
        <x:v>Informational</x:v>
      </x:c>
      <x:c r="F107" s="96" t="str">
        <x:v>Low</x:v>
      </x:c>
      <x:c r="G107" s="96" t="str">
        <x:v>Monitor / ignore</x:v>
      </x:c>
      <x:c r="H107" s="96" t="str">
        <x:v>https://keywordseverywhere.com/tools/keyword-gap-analysis/</x:v>
      </x:c>
    </x:row>
    <x:row r="108">
      <x:c r="A108" s="96" t="str">
        <x:v>2 cylinder air cooled diesel engine</x:v>
      </x:c>
      <x:c r="B108" s="97" t="n">
        <x:v>0</x:v>
      </x:c>
      <x:c r="C108" s="97" t="n">
        <x:v>43</x:v>
      </x:c>
      <x:c r="D108" s="96" t="str">
        <x:v>Generic</x:v>
      </x:c>
      <x:c r="E108" s="96" t="str">
        <x:v>Informational</x:v>
      </x:c>
      <x:c r="F108" s="96" t="str">
        <x:v>Medium</x:v>
      </x:c>
      <x:c r="G108" s="96" t="str">
        <x:v>Monitor / ignore</x:v>
      </x:c>
      <x:c r="H108" s="96" t="str">
        <x:v>https://keywordseverywhere.com/tools/keyword-gap-analysis/</x:v>
      </x:c>
    </x:row>
    <x:row r="109">
      <x:c r="A109" s="96" t="str">
        <x:v>cummins kta50-g3</x:v>
      </x:c>
      <x:c r="B109" s="97" t="n">
        <x:v>0</x:v>
      </x:c>
      <x:c r="C109" s="97" t="n">
        <x:v>11</x:v>
      </x:c>
      <x:c r="D109" s="96" t="str">
        <x:v>Cummins</x:v>
      </x:c>
      <x:c r="E109" s="96" t="str">
        <x:v>Informational</x:v>
      </x:c>
      <x:c r="F109" s="96" t="str">
        <x:v>Low</x:v>
      </x:c>
      <x:c r="G109" s="96" t="str">
        <x:v>Monitor / ignore</x:v>
      </x:c>
      <x:c r="H109" s="96" t="str">
        <x:v>https://keywordseverywhere.com/tools/keyword-gap-analysis/</x:v>
      </x:c>
    </x:row>
    <x:row r="110">
      <x:c r="A110" s="96" t="str">
        <x:v>cummins kta50g3</x:v>
      </x:c>
      <x:c r="B110" s="97" t="n">
        <x:v>0</x:v>
      </x:c>
      <x:c r="C110" s="97" t="n">
        <x:v>11</x:v>
      </x:c>
      <x:c r="D110" s="96" t="str">
        <x:v>Cummins</x:v>
      </x:c>
      <x:c r="E110" s="96" t="str">
        <x:v>Informational</x:v>
      </x:c>
      <x:c r="F110" s="96" t="str">
        <x:v>Low</x:v>
      </x:c>
      <x:c r="G110" s="96" t="str">
        <x:v>Monitor / ignore</x:v>
      </x:c>
      <x:c r="H110" s="96" t="str">
        <x:v>https://keywordseverywhere.com/tools/keyword-gap-analysis/</x:v>
      </x:c>
    </x:row>
    <x:row r="111">
      <x:c r="A111" s="96" t="str">
        <x:v>cummins m series engine</x:v>
      </x:c>
      <x:c r="B111" s="97" t="n">
        <x:v>0</x:v>
      </x:c>
      <x:c r="C111" s="97" t="n">
        <x:v>14</x:v>
      </x:c>
      <x:c r="D111" s="96" t="str">
        <x:v>Cummins</x:v>
      </x:c>
      <x:c r="E111" s="96" t="str">
        <x:v>Informational</x:v>
      </x:c>
      <x:c r="F111" s="96" t="str">
        <x:v>Medium</x:v>
      </x:c>
      <x:c r="G111" s="96" t="str">
        <x:v>Monitor / ignore</x:v>
      </x:c>
      <x:c r="H111" s="96" t="str">
        <x:v>https://keywordseverywhere.com/tools/keyword-gap-analysis/</x:v>
      </x:c>
    </x:row>
    <x:row r="112">
      <x:c r="A112" s="96" t="str">
        <x:v>cummins m11 dry weight</x:v>
      </x:c>
      <x:c r="B112" s="97" t="n">
        <x:v>0</x:v>
      </x:c>
      <x:c r="C112" s="97" t="n">
        <x:v>29</x:v>
      </x:c>
      <x:c r="D112" s="96" t="str">
        <x:v>Cummins</x:v>
      </x:c>
      <x:c r="E112" s="96" t="str">
        <x:v>Informational</x:v>
      </x:c>
      <x:c r="F112" s="96" t="str">
        <x:v>Low</x:v>
      </x:c>
      <x:c r="G112" s="96" t="str">
        <x:v>Monitor / ignore</x:v>
      </x:c>
      <x:c r="H112" s="96" t="str">
        <x:v>https://keywordseverywhere.com/tools/keyword-gap-analysis/</x:v>
      </x:c>
    </x:row>
    <x:row r="113">
      <x:c r="A113" s="96" t="str">
        <x:v>cummins m11 horsepower</x:v>
      </x:c>
      <x:c r="B113" s="97" t="n">
        <x:v>0</x:v>
      </x:c>
      <x:c r="C113" s="97" t="n">
        <x:v>40</x:v>
      </x:c>
      <x:c r="D113" s="96" t="str">
        <x:v>Cummins</x:v>
      </x:c>
      <x:c r="E113" s="96" t="str">
        <x:v>Informational</x:v>
      </x:c>
      <x:c r="F113" s="96" t="str">
        <x:v>Low</x:v>
      </x:c>
      <x:c r="G113" s="96" t="str">
        <x:v>Monitor / ignore</x:v>
      </x:c>
      <x:c r="H113" s="96" t="str">
        <x:v>https://keywordseverywhere.com/tools/keyword-gap-analysis/</x:v>
      </x:c>
    </x:row>
    <x:row r="114">
      <x:c r="A114" s="96" t="str">
        <x:v>cummins nta 855</x:v>
      </x:c>
      <x:c r="B114" s="97" t="n">
        <x:v>0</x:v>
      </x:c>
      <x:c r="C114" s="97" t="n">
        <x:v>22</x:v>
      </x:c>
      <x:c r="D114" s="96" t="str">
        <x:v>Cummins</x:v>
      </x:c>
      <x:c r="E114" s="96" t="str">
        <x:v>Informational</x:v>
      </x:c>
      <x:c r="F114" s="96" t="str">
        <x:v>Low</x:v>
      </x:c>
      <x:c r="G114" s="96" t="str">
        <x:v>Monitor / ignore</x:v>
      </x:c>
      <x:c r="H114" s="96" t="str">
        <x:v>https://keywordseverywhere.com/tools/keyword-gap-analysis/</x:v>
      </x:c>
    </x:row>
    <x:row r="115">
      <x:c r="A115" s="96" t="str">
        <x:v>cummins oem parts</x:v>
      </x:c>
      <x:c r="B115" s="97" t="n">
        <x:v>0</x:v>
      </x:c>
      <x:c r="C115" s="97" t="n">
        <x:v>41</x:v>
      </x:c>
      <x:c r="D115" s="96" t="str">
        <x:v>Cummins</x:v>
      </x:c>
      <x:c r="E115" s="96" t="str">
        <x:v>Commercial</x:v>
      </x:c>
      <x:c r="F115" s="96" t="str">
        <x:v>High</x:v>
      </x:c>
      <x:c r="G115" s="96" t="str">
        <x:v>Review</x:v>
      </x:c>
      <x:c r="H115" s="96" t="str">
        <x:v>https://keywordseverywhere.com/tools/keyword-gap-analysis/</x:v>
      </x:c>
    </x:row>
    <x:row r="116">
      <x:c r="A116" s="96" t="str">
        <x:v>cummins qsk19 specs</x:v>
      </x:c>
      <x:c r="B116" s="97" t="n">
        <x:v>0</x:v>
      </x:c>
      <x:c r="C116" s="97" t="n">
        <x:v>17</x:v>
      </x:c>
      <x:c r="D116" s="96" t="str">
        <x:v>Cummins</x:v>
      </x:c>
      <x:c r="E116" s="96" t="str">
        <x:v>Informational</x:v>
      </x:c>
      <x:c r="F116" s="96" t="str">
        <x:v>Low</x:v>
      </x:c>
      <x:c r="G116" s="96" t="str">
        <x:v>Monitor / ignore</x:v>
      </x:c>
      <x:c r="H116" s="96" t="str">
        <x:v>https://keywordseverywhere.com/tools/keyword-gap-analysis/</x:v>
      </x:c>
    </x:row>
    <x:row r="117">
      <x:c r="A117" s="96" t="str">
        <x:v>cummins qsk50</x:v>
      </x:c>
      <x:c r="B117" s="97" t="n">
        <x:v>0</x:v>
      </x:c>
      <x:c r="C117" s="97" t="n">
        <x:v>33</x:v>
      </x:c>
      <x:c r="D117" s="96" t="str">
        <x:v>Cummins</x:v>
      </x:c>
      <x:c r="E117" s="96" t="str">
        <x:v>Informational</x:v>
      </x:c>
      <x:c r="F117" s="96" t="str">
        <x:v>Low</x:v>
      </x:c>
      <x:c r="G117" s="96" t="str">
        <x:v>Monitor / ignore</x:v>
      </x:c>
      <x:c r="H117" s="96" t="str">
        <x:v>https://keywordseverywhere.com/tools/keyword-gap-analysis/</x:v>
      </x:c>
    </x:row>
    <x:row r="118">
      <x:c r="A118" s="96" t="str">
        <x:v>cummins x19 specs</x:v>
      </x:c>
      <x:c r="B118" s="97" t="n">
        <x:v>0</x:v>
      </x:c>
      <x:c r="C118" s="97" t="n">
        <x:v>21</x:v>
      </x:c>
      <x:c r="D118" s="96" t="str">
        <x:v>Cummins</x:v>
      </x:c>
      <x:c r="E118" s="96" t="str">
        <x:v>Informational</x:v>
      </x:c>
      <x:c r="F118" s="96" t="str">
        <x:v>Low</x:v>
      </x:c>
      <x:c r="G118" s="96" t="str">
        <x:v>Monitor / ignore</x:v>
      </x:c>
      <x:c r="H118" s="96" t="str">
        <x:v>https://keywordseverywhere.com/tools/keyword-gap-analysis/</x:v>
      </x:c>
    </x:row>
    <x:row r="119">
      <x:c r="A119" s="96" t="str">
        <x:v>335 cummins</x:v>
      </x:c>
      <x:c r="B119" s="97" t="n">
        <x:v>0</x:v>
      </x:c>
      <x:c r="C119" s="97" t="n">
        <x:v>31</x:v>
      </x:c>
      <x:c r="D119" s="96" t="str">
        <x:v>Cummins</x:v>
      </x:c>
      <x:c r="E119" s="96" t="str">
        <x:v>Informational</x:v>
      </x:c>
      <x:c r="F119" s="96" t="str">
        <x:v>Low</x:v>
      </x:c>
      <x:c r="G119" s="96" t="str">
        <x:v>Monitor / ignore</x:v>
      </x:c>
      <x:c r="H119" s="96" t="str">
        <x:v>https://keywordseverywhere.com/tools/keyword-gap-analysis/</x:v>
      </x:c>
    </x:row>
    <x:row r="120">
      <x:c r="A120" s="96" t="str">
        <x:v>335 cummins engine</x:v>
      </x:c>
      <x:c r="B120" s="97" t="n">
        <x:v>0</x:v>
      </x:c>
      <x:c r="C120" s="97" t="n">
        <x:v>75</x:v>
      </x:c>
      <x:c r="D120" s="96" t="str">
        <x:v>Cummins</x:v>
      </x:c>
      <x:c r="E120" s="96" t="str">
        <x:v>Informational</x:v>
      </x:c>
      <x:c r="F120" s="96" t="str">
        <x:v>Medium</x:v>
      </x:c>
      <x:c r="G120" s="96" t="str">
        <x:v>Monitor / ignore</x:v>
      </x:c>
      <x:c r="H120" s="96" t="str">
        <x:v>https://keywordseverywhere.com/tools/keyword-gap-analysis/</x:v>
      </x:c>
    </x:row>
    <x:row r="121">
      <x:c r="A121" s="96" t="str">
        <x:v>300 hp cummins engine</x:v>
      </x:c>
      <x:c r="B121" s="97" t="n">
        <x:v>0</x:v>
      </x:c>
      <x:c r="C121" s="97" t="n">
        <x:v>62</x:v>
      </x:c>
      <x:c r="D121" s="96" t="str">
        <x:v>Cummins</x:v>
      </x:c>
      <x:c r="E121" s="96" t="str">
        <x:v>Informational</x:v>
      </x:c>
      <x:c r="F121" s="96" t="str">
        <x:v>Medium</x:v>
      </x:c>
      <x:c r="G121" s="96" t="str">
        <x:v>Monitor / ignore</x:v>
      </x:c>
      <x:c r="H121" s="96" t="str">
        <x:v>https://keywordseverywhere.com/tools/keyword-gap-analysis/</x:v>
      </x:c>
    </x:row>
    <x:row r="122">
      <x:c r="A122" s="96" t="str">
        <x:v>2-cylinder air-cooled diesel engine</x:v>
      </x:c>
      <x:c r="B122" s="97" t="n">
        <x:v>0</x:v>
      </x:c>
      <x:c r="C122" s="97" t="n">
        <x:v>43</x:v>
      </x:c>
      <x:c r="D122" s="96" t="str">
        <x:v>Generic</x:v>
      </x:c>
      <x:c r="E122" s="96" t="str">
        <x:v>Informational</x:v>
      </x:c>
      <x:c r="F122" s="96" t="str">
        <x:v>Medium</x:v>
      </x:c>
      <x:c r="G122" s="96" t="str">
        <x:v>Monitor / ignore</x:v>
      </x:c>
      <x:c r="H122" s="96" t="str">
        <x:v>https://keywordseverywhere.com/tools/keyword-gap-analysis/</x:v>
      </x:c>
    </x:row>
    <x:row r="123">
      <x:c r="A123" s="96" t="str">
        <x:v>4b3 9 cummins engine</x:v>
      </x:c>
      <x:c r="B123" s="97" t="n">
        <x:v>0</x:v>
      </x:c>
      <x:c r="C123" s="97" t="n">
        <x:v>11</x:v>
      </x:c>
      <x:c r="D123" s="96" t="str">
        <x:v>Cummins</x:v>
      </x:c>
      <x:c r="E123" s="96" t="str">
        <x:v>Informational</x:v>
      </x:c>
      <x:c r="F123" s="96" t="str">
        <x:v>Medium</x:v>
      </x:c>
      <x:c r="G123" s="96" t="str">
        <x:v>Monitor / ignore</x:v>
      </x:c>
      <x:c r="H123" s="96" t="str">
        <x:v>https://keywordseverywhere.com/tools/keyword-gap-analysis/</x:v>
      </x:c>
    </x:row>
    <x:row r="124">
      <x:c r="A124" s="96" t="str">
        <x:v>mtu 16v 2000</x:v>
      </x:c>
      <x:c r="B124" s="97" t="n">
        <x:v>0</x:v>
      </x:c>
      <x:c r="C124" s="97" t="n">
        <x:v>39</x:v>
      </x:c>
      <x:c r="D124" s="96" t="str">
        <x:v>MTU</x:v>
      </x:c>
      <x:c r="E124" s="96" t="str">
        <x:v>Informational</x:v>
      </x:c>
      <x:c r="F124" s="96" t="str">
        <x:v>High</x:v>
      </x:c>
      <x:c r="G124" s="96" t="str">
        <x:v>Review</x:v>
      </x:c>
      <x:c r="H124" s="96" t="str">
        <x:v>https://keywordseverywhere.com/tools/keyword-gap-analysis/</x:v>
      </x:c>
    </x:row>
    <x:row r="125">
      <x:c r="A125" s="96" t="str">
        <x:v>m-11 engine</x:v>
      </x:c>
      <x:c r="B125" s="97" t="n">
        <x:v>0</x:v>
      </x:c>
      <x:c r="C125" s="97" t="n">
        <x:v>71</x:v>
      </x:c>
      <x:c r="D125" s="96" t="str">
        <x:v>Generic</x:v>
      </x:c>
      <x:c r="E125" s="96" t="str">
        <x:v>Informational</x:v>
      </x:c>
      <x:c r="F125" s="96" t="str">
        <x:v>Medium</x:v>
      </x:c>
      <x:c r="G125" s="96" t="str">
        <x:v>Monitor / ignore</x:v>
      </x:c>
      <x:c r="H125" s="96" t="str">
        <x:v>https://keywordseverywhere.com/tools/keyword-gap-analysis/</x:v>
      </x:c>
    </x:row>
    <x:row r="126">
      <x:c r="A126" s="96" t="str">
        <x:v>ce ring</x:v>
      </x:c>
      <x:c r="B126" s="97" t="n">
        <x:v>0</x:v>
      </x:c>
      <x:c r="C126" s="97" t="n">
        <x:v>28</x:v>
      </x:c>
      <x:c r="D126" s="96" t="str">
        <x:v>Generic</x:v>
      </x:c>
      <x:c r="E126" s="96" t="str">
        <x:v>Informational</x:v>
      </x:c>
      <x:c r="F126" s="96" t="str">
        <x:v>Low</x:v>
      </x:c>
      <x:c r="G126" s="96" t="str">
        <x:v>Monitor / ignore</x:v>
      </x:c>
      <x:c r="H126" s="96" t="str">
        <x:v>https://keywordseverywhere.com/tools/keyword-gap-analysis/</x:v>
      </x:c>
    </x:row>
    <x:row r="127">
      <x:c r="A127" s="96" t="str">
        <x:v>mtu replacement parts</x:v>
      </x:c>
      <x:c r="B127" s="97" t="n">
        <x:v>0</x:v>
      </x:c>
      <x:c r="C127" s="97" t="n">
        <x:v>23</x:v>
      </x:c>
      <x:c r="D127" s="96" t="str">
        <x:v>MTU</x:v>
      </x:c>
      <x:c r="E127" s="96" t="str">
        <x:v>Commercial</x:v>
      </x:c>
      <x:c r="F127" s="96" t="str">
        <x:v>High</x:v>
      </x:c>
      <x:c r="G127" s="96" t="str">
        <x:v>Review</x:v>
      </x:c>
      <x:c r="H127" s="96" t="str">
        <x:v>https://keywordseverywhere.com/tools/keyword-gap-analysis/</x:v>
      </x:c>
    </x:row>
    <x:row r="128">
      <x:c r="A128" s="96" t="str">
        <x:v>mtu yacht engines</x:v>
      </x:c>
      <x:c r="B128" s="97" t="n">
        <x:v>0</x:v>
      </x:c>
      <x:c r="C128" s="97" t="n">
        <x:v>50</x:v>
      </x:c>
      <x:c r="D128" s="96" t="str">
        <x:v>MTU</x:v>
      </x:c>
      <x:c r="E128" s="96" t="str">
        <x:v>Informational</x:v>
      </x:c>
      <x:c r="F128" s="96" t="str">
        <x:v>High</x:v>
      </x:c>
      <x:c r="G128" s="96" t="str">
        <x:v>Review</x:v>
      </x:c>
      <x:c r="H128" s="96" t="str">
        <x:v>https://keywordseverywhere.com/tools/keyword-gap-analysis/</x:v>
      </x:c>
    </x:row>
    <x:row r="129">
      <x:c r="A129" s="96" t="str">
        <x:v>multi fuel engine for sale</x:v>
      </x:c>
      <x:c r="B129" s="97" t="n">
        <x:v>0</x:v>
      </x:c>
      <x:c r="C129" s="97" t="n">
        <x:v>75</x:v>
      </x:c>
      <x:c r="D129" s="96" t="str">
        <x:v>Generic</x:v>
      </x:c>
      <x:c r="E129" s="96" t="str">
        <x:v>Transactional</x:v>
      </x:c>
      <x:c r="F129" s="96" t="str">
        <x:v>Medium</x:v>
      </x:c>
      <x:c r="G129" s="96" t="str">
        <x:v>Monitor / ignore</x:v>
      </x:c>
      <x:c r="H129" s="96" t="str">
        <x:v>https://keywordseverywhere.com/tools/keyword-gap-analysis/</x:v>
      </x:c>
    </x:row>
    <x:row r="130">
      <x:c r="A130" s="96" t="str">
        <x:v>motor cummins ism 370</x:v>
      </x:c>
      <x:c r="B130" s="97" t="n">
        <x:v>0</x:v>
      </x:c>
      <x:c r="C130" s="97" t="n">
        <x:v>59</x:v>
      </x:c>
      <x:c r="D130" s="96" t="str">
        <x:v>Cummins</x:v>
      </x:c>
      <x:c r="E130" s="96" t="str">
        <x:v>Informational</x:v>
      </x:c>
      <x:c r="F130" s="96" t="str">
        <x:v>Low</x:v>
      </x:c>
      <x:c r="G130" s="96" t="str">
        <x:v>Monitor / ignore</x:v>
      </x:c>
      <x:c r="H130" s="96" t="str">
        <x:v>https://keywordseverywhere.com/tools/keyword-gap-analysis/</x:v>
      </x:c>
    </x:row>
    <x:row r="131">
      <x:c r="A131" s="96" t="str">
        <x:v>air cooled deutz</x:v>
      </x:c>
      <x:c r="B131" s="97" t="n">
        <x:v>0</x:v>
      </x:c>
      <x:c r="C131" s="97" t="n">
        <x:v>31</x:v>
      </x:c>
      <x:c r="D131" s="96" t="str">
        <x:v>Deutz</x:v>
      </x:c>
      <x:c r="E131" s="96" t="str">
        <x:v>Informational</x:v>
      </x:c>
      <x:c r="F131" s="96" t="str">
        <x:v>Low</x:v>
      </x:c>
      <x:c r="G131" s="96" t="str">
        <x:v>Monitor / ignore</x:v>
      </x:c>
      <x:c r="H131" s="96" t="str">
        <x:v>https://keywordseverywhere.com/tools/keyword-gap-analysis/</x:v>
      </x:c>
    </x:row>
    <x:row r="132">
      <x:c r="A132" s="96" t="str">
        <x:v>air cooled deutz engine</x:v>
      </x:c>
      <x:c r="B132" s="97" t="n">
        <x:v>0</x:v>
      </x:c>
      <x:c r="C132" s="97" t="n">
        <x:v>74</x:v>
      </x:c>
      <x:c r="D132" s="96" t="str">
        <x:v>Deutz</x:v>
      </x:c>
      <x:c r="E132" s="96" t="str">
        <x:v>Informational</x:v>
      </x:c>
      <x:c r="F132" s="96" t="str">
        <x:v>Medium</x:v>
      </x:c>
      <x:c r="G132" s="96" t="str">
        <x:v>Monitor / ignore</x:v>
      </x:c>
      <x:c r="H132" s="96" t="str">
        <x:v>https://keywordseverywhere.com/tools/keyword-gap-analysis/</x:v>
      </x:c>
    </x:row>
    <x:row r="133">
      <x:c r="A133" s="96" t="str">
        <x:v>spare parts cummins</x:v>
      </x:c>
      <x:c r="B133" s="97" t="n">
        <x:v>0</x:v>
      </x:c>
      <x:c r="C133" s="97" t="n">
        <x:v>70</x:v>
      </x:c>
      <x:c r="D133" s="96" t="str">
        <x:v>Cummins</x:v>
      </x:c>
      <x:c r="E133" s="96" t="str">
        <x:v>Commercial</x:v>
      </x:c>
      <x:c r="F133" s="96" t="str">
        <x:v>High</x:v>
      </x:c>
      <x:c r="G133" s="96" t="str">
        <x:v>Review</x:v>
      </x:c>
      <x:c r="H133" s="96" t="str">
        <x:v>https://keywordseverywhere.com/tools/keyword-gap-analysis/</x:v>
      </x:c>
    </x:row>
    <x:row r="134">
      <x:c r="A134" s="96" t="str">
        <x:v>slotted nut driver</x:v>
      </x:c>
      <x:c r="B134" s="97" t="n">
        <x:v>0</x:v>
      </x:c>
      <x:c r="C134" s="97" t="n">
        <x:v>91</x:v>
      </x:c>
      <x:c r="D134" s="96" t="str">
        <x:v>Generic</x:v>
      </x:c>
      <x:c r="E134" s="96" t="str">
        <x:v>Informational</x:v>
      </x:c>
      <x:c r="F134" s="96" t="str">
        <x:v>Low</x:v>
      </x:c>
      <x:c r="G134" s="96" t="str">
        <x:v>Monitor / ignore</x:v>
      </x:c>
      <x:c r="H134" s="96" t="str">
        <x:v>https://keywordseverywhere.com/tools/keyword-gap-analysis/</x:v>
      </x:c>
    </x:row>
    <x:row r="135">
      <x:c r="A135" s="96" t="str">
        <x:v>b series cummins engine for sale</x:v>
      </x:c>
      <x:c r="B135" s="97" t="n">
        <x:v>0</x:v>
      </x:c>
      <x:c r="C135" s="97" t="n">
        <x:v>10</x:v>
      </x:c>
      <x:c r="D135" s="96" t="str">
        <x:v>Cummins</x:v>
      </x:c>
      <x:c r="E135" s="96" t="str">
        <x:v>Transactional</x:v>
      </x:c>
      <x:c r="F135" s="96" t="str">
        <x:v>Medium</x:v>
      </x:c>
      <x:c r="G135" s="96" t="str">
        <x:v>Monitor / ignore</x:v>
      </x:c>
      <x:c r="H135" s="96" t="str">
        <x:v>https://keywordseverywhere.com/tools/keyword-gap-analysis/</x:v>
      </x:c>
    </x:row>
    <x:row r="136">
      <x:c r="A136" s="96" t="str">
        <x:v>b series cummins for sale</x:v>
      </x:c>
      <x:c r="B136" s="97" t="n">
        <x:v>0</x:v>
      </x:c>
      <x:c r="C136" s="97" t="n">
        <x:v>61</x:v>
      </x:c>
      <x:c r="D136" s="96" t="str">
        <x:v>Cummins</x:v>
      </x:c>
      <x:c r="E136" s="96" t="str">
        <x:v>Transactional</x:v>
      </x:c>
      <x:c r="F136" s="96" t="str">
        <x:v>Low</x:v>
      </x:c>
      <x:c r="G136" s="96" t="str">
        <x:v>Monitor / ignore</x:v>
      </x:c>
      <x:c r="H136" s="96" t="str">
        <x:v>https://keywordseverywhere.com/tools/keyword-gap-analysis/</x:v>
      </x:c>
    </x:row>
    <x:row r="137">
      <x:c r="A137" s="96" t="str">
        <x:v>super 250 cummins</x:v>
      </x:c>
      <x:c r="B137" s="97" t="n">
        <x:v>0</x:v>
      </x:c>
      <x:c r="C137" s="97" t="n">
        <x:v>91</x:v>
      </x:c>
      <x:c r="D137" s="96" t="str">
        <x:v>Cummins</x:v>
      </x:c>
      <x:c r="E137" s="96" t="str">
        <x:v>Informational</x:v>
      </x:c>
      <x:c r="F137" s="96" t="str">
        <x:v>Low</x:v>
      </x:c>
      <x:c r="G137" s="96" t="str">
        <x:v>Monitor / ignore</x:v>
      </x:c>
      <x:c r="H137" s="96" t="str">
        <x:v>https://keywordseverywhere.com/tools/keyword-gap-analysis/</x:v>
      </x:c>
    </x:row>
    <x:row r="138">
      <x:c r="A138" s="96" t="str">
        <x:v>construction engine</x:v>
      </x:c>
      <x:c r="B138" s="97" t="n">
        <x:v>0</x:v>
      </x:c>
      <x:c r="C138" s="97" t="n">
        <x:v>22</x:v>
      </x:c>
      <x:c r="D138" s="96" t="str">
        <x:v>Generic</x:v>
      </x:c>
      <x:c r="E138" s="96" t="str">
        <x:v>Informational</x:v>
      </x:c>
      <x:c r="F138" s="96" t="str">
        <x:v>Medium</x:v>
      </x:c>
      <x:c r="G138" s="96" t="str">
        <x:v>Monitor / ignore</x:v>
      </x:c>
      <x:c r="H138" s="96" t="str">
        <x:v>https://keywordseverywhere.com/tools/keyword-gap-analysis/</x:v>
      </x:c>
    </x:row>
    <x:row r="139">
      <x:c r="A139" s="96" t="str">
        <x:v>chinese engines</x:v>
      </x:c>
      <x:c r="B139" s="97" t="n">
        <x:v>0</x:v>
      </x:c>
      <x:c r="C139" s="97" t="n">
        <x:v>94</x:v>
      </x:c>
      <x:c r="D139" s="96" t="str">
        <x:v>Generic</x:v>
      </x:c>
      <x:c r="E139" s="96" t="str">
        <x:v>Informational</x:v>
      </x:c>
      <x:c r="F139" s="96" t="str">
        <x:v>Medium</x:v>
      </x:c>
      <x:c r="G139" s="96" t="str">
        <x:v>Monitor / ignore</x:v>
      </x:c>
      <x:c r="H139" s="96" t="str">
        <x:v>https://keywordseverywhere.com/tools/keyword-gap-analysis/</x:v>
      </x:c>
    </x:row>
    <x:row r="140">
      <x:c r="A140" s="96" t="str">
        <x:v>c-series engine</x:v>
      </x:c>
      <x:c r="B140" s="97" t="n">
        <x:v>0</x:v>
      </x:c>
      <x:c r="C140" s="97" t="n">
        <x:v>13</x:v>
      </x:c>
      <x:c r="D140" s="96" t="str">
        <x:v>Generic</x:v>
      </x:c>
      <x:c r="E140" s="96" t="str">
        <x:v>Informational</x:v>
      </x:c>
      <x:c r="F140" s="96" t="str">
        <x:v>Medium</x:v>
      </x:c>
      <x:c r="G140" s="96" t="str">
        <x:v>Monitor / ignore</x:v>
      </x:c>
      <x:c r="H140" s="96" t="str">
        <x:v>https://keywordseverywhere.com/tools/keyword-gap-analysis/</x:v>
      </x:c>
    </x:row>
    <x:row r="141">
      <x:c r="A141" s="96" t="str">
        <x:v>mtu engines parts</x:v>
      </x:c>
      <x:c r="B141" s="97" t="n">
        <x:v>0</x:v>
      </x:c>
      <x:c r="C141" s="97" t="n">
        <x:v>88</x:v>
      </x:c>
      <x:c r="D141" s="96" t="str">
        <x:v>MTU</x:v>
      </x:c>
      <x:c r="E141" s="96" t="str">
        <x:v>Commercial</x:v>
      </x:c>
      <x:c r="F141" s="96" t="str">
        <x:v>High</x:v>
      </x:c>
      <x:c r="G141" s="96" t="str">
        <x:v>Review</x:v>
      </x:c>
      <x:c r="H141" s="96" t="str">
        <x:v>https://keywordseverywhere.com/tools/keyword-gap-analysis/</x:v>
      </x:c>
    </x:row>
    <x:row r="142">
      <x:c r="A142" s="96" t="str">
        <x:v>c series cummins</x:v>
      </x:c>
      <x:c r="B142" s="97" t="n">
        <x:v>0</x:v>
      </x:c>
      <x:c r="C142" s="97" t="n">
        <x:v>72</x:v>
      </x:c>
      <x:c r="D142" s="96" t="str">
        <x:v>Cummins</x:v>
      </x:c>
      <x:c r="E142" s="96" t="str">
        <x:v>Informational</x:v>
      </x:c>
      <x:c r="F142" s="96" t="str">
        <x:v>Low</x:v>
      </x:c>
      <x:c r="G142" s="96" t="str">
        <x:v>Monitor / ignore</x:v>
      </x:c>
      <x:c r="H142" s="96" t="str">
        <x:v>https://keywordseverywhere.com/tools/keyword-gap-analysis/</x:v>
      </x:c>
    </x:row>
    <x:row r="143">
      <x:c r="A143" s="96" t="str">
        <x:v>who makes mtu engines</x:v>
      </x:c>
      <x:c r="B143" s="97" t="n">
        <x:v>0</x:v>
      </x:c>
      <x:c r="C143" s="97" t="n">
        <x:v>77</x:v>
      </x:c>
      <x:c r="D143" s="96" t="str">
        <x:v>MTU</x:v>
      </x:c>
      <x:c r="E143" s="96" t="str">
        <x:v>Informational</x:v>
      </x:c>
      <x:c r="F143" s="96" t="str">
        <x:v>High</x:v>
      </x:c>
      <x:c r="G143" s="96" t="str">
        <x:v>Review</x:v>
      </x:c>
      <x:c r="H143" s="96" t="str">
        <x:v>https://keywordseverywhere.com/tools/keyword-gap-analysis/</x:v>
      </x:c>
    </x:row>
    <x:row r="144">
      <x:c r="A144" s="96" t="str">
        <x:v>cummins c series engine</x:v>
      </x:c>
      <x:c r="B144" s="97" t="n">
        <x:v>0</x:v>
      </x:c>
      <x:c r="C144" s="97" t="n">
        <x:v>67</x:v>
      </x:c>
      <x:c r="D144" s="96" t="str">
        <x:v>Cummins</x:v>
      </x:c>
      <x:c r="E144" s="96" t="str">
        <x:v>Informational</x:v>
      </x:c>
      <x:c r="F144" s="96" t="str">
        <x:v>Medium</x:v>
      </x:c>
      <x:c r="G144" s="96" t="str">
        <x:v>Monitor / ignore</x:v>
      </x:c>
      <x:c r="H144" s="96" t="str">
        <x:v>https://keywordseverywhere.com/tools/keyword-gap-analysis/</x:v>
      </x:c>
    </x:row>
    <x:row r="145">
      <x:c r="A145" s="96" t="str">
        <x:v>cummins m11 hp specs</x:v>
      </x:c>
      <x:c r="B145" s="97" t="n">
        <x:v>0</x:v>
      </x:c>
      <x:c r="C145" s="97" t="n">
        <x:v>96</x:v>
      </x:c>
      <x:c r="D145" s="96" t="str">
        <x:v>Cummins</x:v>
      </x:c>
      <x:c r="E145" s="96" t="str">
        <x:v>Informational</x:v>
      </x:c>
      <x:c r="F145" s="96" t="str">
        <x:v>Low</x:v>
      </x:c>
      <x:c r="G145" s="96" t="str">
        <x:v>Monitor / ignore</x:v>
      </x:c>
      <x:c r="H145" s="96" t="str">
        <x:v>https://keywordseverywhere.com/tools/keyword-gap-analysis/</x:v>
      </x:c>
    </x:row>
    <x:row r="146">
      <x:c r="A146" s="96" t="str">
        <x:v>deutz 6 cylinder air cooled diesel engine</x:v>
      </x:c>
      <x:c r="B146" s="97" t="n">
        <x:v>0</x:v>
      </x:c>
      <x:c r="C146" s="97" t="n">
        <x:v>18</x:v>
      </x:c>
      <x:c r="D146" s="96" t="str">
        <x:v>Deutz</x:v>
      </x:c>
      <x:c r="E146" s="96" t="str">
        <x:v>Informational</x:v>
      </x:c>
      <x:c r="F146" s="96" t="str">
        <x:v>Medium</x:v>
      </x:c>
      <x:c r="G146" s="96" t="str">
        <x:v>Monitor / ignore</x:v>
      </x:c>
      <x:c r="H146" s="96" t="str">
        <x:v>https://keywordseverywhere.com/tools/keyword-gap-analysis/</x:v>
      </x:c>
    </x:row>
    <x:row r="147">
      <x:c r="A147" s="96" t="str">
        <x:v>deutz 6-cylinder engine</x:v>
      </x:c>
      <x:c r="B147" s="97" t="n">
        <x:v>0</x:v>
      </x:c>
      <x:c r="C147" s="97" t="n">
        <x:v>71</x:v>
      </x:c>
      <x:c r="D147" s="96" t="str">
        <x:v>Deutz</x:v>
      </x:c>
      <x:c r="E147" s="96" t="str">
        <x:v>Informational</x:v>
      </x:c>
      <x:c r="F147" s="96" t="str">
        <x:v>Medium</x:v>
      </x:c>
      <x:c r="G147" s="96" t="str">
        <x:v>Monitor / ignore</x:v>
      </x:c>
      <x:c r="H147" s="96" t="str">
        <x:v>https://keywordseverywhere.com/tools/keyword-gap-analysis/</x:v>
      </x:c>
    </x:row>
    <x:row r="148">
      <x:c r="A148" s="96" t="str">
        <x:v>deutz diesel 3-cylinder</x:v>
      </x:c>
      <x:c r="B148" s="97" t="n">
        <x:v>0</x:v>
      </x:c>
      <x:c r="C148" s="97" t="n">
        <x:v>67</x:v>
      </x:c>
      <x:c r="D148" s="96" t="str">
        <x:v>Deutz</x:v>
      </x:c>
      <x:c r="E148" s="96" t="str">
        <x:v>Informational</x:v>
      </x:c>
      <x:c r="F148" s="96" t="str">
        <x:v>Medium</x:v>
      </x:c>
      <x:c r="G148" s="96" t="str">
        <x:v>Monitor / ignore</x:v>
      </x:c>
      <x:c r="H148" s="96" t="str">
        <x:v>https://keywordseverywhere.com/tools/keyword-gap-analysis/</x:v>
      </x:c>
    </x:row>
    <x:row r="149">
      <x:c r="A149" s="96" t="str">
        <x:v>deutz f4l912</x:v>
      </x:c>
      <x:c r="B149" s="97" t="n">
        <x:v>0</x:v>
      </x:c>
      <x:c r="C149" s="97" t="n">
        <x:v>36</x:v>
      </x:c>
      <x:c r="D149" s="96" t="str">
        <x:v>Deutz</x:v>
      </x:c>
      <x:c r="E149" s="96" t="str">
        <x:v>Informational</x:v>
      </x:c>
      <x:c r="F149" s="96" t="str">
        <x:v>Low</x:v>
      </x:c>
      <x:c r="G149" s="96" t="str">
        <x:v>Monitor / ignore</x:v>
      </x:c>
      <x:c r="H149" s="96" t="str">
        <x:v>https://keywordseverywhere.com/tools/keyword-gap-analysis/</x:v>
      </x:c>
    </x:row>
    <x:row r="150">
      <x:c r="A150" s="96" t="str">
        <x:v>qsb4.5</x:v>
      </x:c>
      <x:c r="B150" s="97" t="n">
        <x:v>0</x:v>
      </x:c>
      <x:c r="C150" s="97" t="n">
        <x:v>73</x:v>
      </x:c>
      <x:c r="D150" s="96" t="str">
        <x:v>Generic</x:v>
      </x:c>
      <x:c r="E150" s="96" t="str">
        <x:v>Informational</x:v>
      </x:c>
      <x:c r="F150" s="96" t="str">
        <x:v>Low</x:v>
      </x:c>
      <x:c r="G150" s="96" t="str">
        <x:v>Monitor / ignore</x:v>
      </x:c>
      <x:c r="H150" s="96" t="str">
        <x:v>https://keywordseverywhere.com/tools/keyword-gap-analysis/</x:v>
      </x:c>
    </x:row>
    <x:row r="151">
      <x:c r="A151" s="96" t="str">
        <x:v>cummins c series</x:v>
      </x:c>
      <x:c r="B151" s="97" t="n">
        <x:v>0</x:v>
      </x:c>
      <x:c r="C151" s="97" t="n">
        <x:v>78</x:v>
      </x:c>
      <x:c r="D151" s="96" t="str">
        <x:v>Cummins</x:v>
      </x:c>
      <x:c r="E151" s="96" t="str">
        <x:v>Informational</x:v>
      </x:c>
      <x:c r="F151" s="96" t="str">
        <x:v>Low</x:v>
      </x:c>
      <x:c r="G151" s="96" t="str">
        <x:v>Monitor / ignore</x:v>
      </x:c>
      <x:c r="H151" s="96" t="str">
        <x:v>https://keywordseverywhere.com/tools/keyword-gap-analysis/</x:v>
      </x:c>
    </x:row>
    <x:row r="152">
      <x:c r="A152" s="96" t="str">
        <x:v>deutz 4-cylinder diesel</x:v>
      </x:c>
      <x:c r="B152" s="97" t="n">
        <x:v>0</x:v>
      </x:c>
      <x:c r="C152" s="97" t="n">
        <x:v>69</x:v>
      </x:c>
      <x:c r="D152" s="96" t="str">
        <x:v>Deutz</x:v>
      </x:c>
      <x:c r="E152" s="96" t="str">
        <x:v>Informational</x:v>
      </x:c>
      <x:c r="F152" s="96" t="str">
        <x:v>Medium</x:v>
      </x:c>
      <x:c r="G152" s="96" t="str">
        <x:v>Monitor / ignore</x:v>
      </x:c>
      <x:c r="H152" s="96" t="str">
        <x:v>https://keywordseverywhere.com/tools/keyword-gap-analysis/</x:v>
      </x:c>
    </x:row>
    <x:row r="153">
      <x:c r="A153" s="96" t="str">
        <x:v>deutz air cooled engines</x:v>
      </x:c>
      <x:c r="B153" s="97" t="n">
        <x:v>0</x:v>
      </x:c>
      <x:c r="C153" s="97" t="n">
        <x:v>78</x:v>
      </x:c>
      <x:c r="D153" s="96" t="str">
        <x:v>Deutz</x:v>
      </x:c>
      <x:c r="E153" s="96" t="str">
        <x:v>Informational</x:v>
      </x:c>
      <x:c r="F153" s="96" t="str">
        <x:v>Medium</x:v>
      </x:c>
      <x:c r="G153" s="96" t="str">
        <x:v>Monitor / ignore</x:v>
      </x:c>
      <x:c r="H153" s="96" t="str">
        <x:v>https://keywordseverywhere.com/tools/keyword-gap-analysis/</x:v>
      </x:c>
    </x:row>
    <x:row r="154">
      <x:c r="A154" s="96" t="str">
        <x:v>deutz v12 engine</x:v>
      </x:c>
      <x:c r="B154" s="97" t="n">
        <x:v>0</x:v>
      </x:c>
      <x:c r="C154" s="97" t="n">
        <x:v>49</x:v>
      </x:c>
      <x:c r="D154" s="96" t="str">
        <x:v>Deutz</x:v>
      </x:c>
      <x:c r="E154" s="96" t="str">
        <x:v>Informational</x:v>
      </x:c>
      <x:c r="F154" s="96" t="str">
        <x:v>Medium</x:v>
      </x:c>
      <x:c r="G154" s="96" t="str">
        <x:v>Monitor / ignore</x:v>
      </x:c>
      <x:c r="H154" s="96" t="str">
        <x:v>https://keywordseverywhere.com/tools/keyword-gap-analysis/</x:v>
      </x:c>
    </x:row>
    <x:row r="155">
      <x:c r="A155" s="96" t="str">
        <x:v>mtu m96l</x:v>
      </x:c>
      <x:c r="B155" s="97" t="n">
        <x:v>0</x:v>
      </x:c>
      <x:c r="C155" s="97" t="n">
        <x:v>40</x:v>
      </x:c>
      <x:c r="D155" s="96" t="str">
        <x:v>MTU</x:v>
      </x:c>
      <x:c r="E155" s="96" t="str">
        <x:v>Informational</x:v>
      </x:c>
      <x:c r="F155" s="96" t="str">
        <x:v>High</x:v>
      </x:c>
      <x:c r="G155" s="96" t="str">
        <x:v>Review</x:v>
      </x:c>
      <x:c r="H155" s="96" t="str">
        <x:v>https://keywordseverywhere.com/tools/keyword-gap-analysis/</x:v>
      </x:c>
    </x:row>
    <x:row r="156">
      <x:c r="A156" s="96" t="str">
        <x:v>mtu diesel</x:v>
      </x:c>
      <x:c r="B156" s="97" t="n">
        <x:v>0</x:v>
      </x:c>
      <x:c r="C156" s="97" t="n">
        <x:v>27</x:v>
      </x:c>
      <x:c r="D156" s="96" t="str">
        <x:v>MTU</x:v>
      </x:c>
      <x:c r="E156" s="96" t="str">
        <x:v>Informational</x:v>
      </x:c>
      <x:c r="F156" s="96" t="str">
        <x:v>High</x:v>
      </x:c>
      <x:c r="G156" s="96" t="str">
        <x:v>Review</x:v>
      </x:c>
      <x:c r="H156" s="96" t="str">
        <x:v>https://keywordseverywhere.com/tools/keyword-gap-analysis/</x:v>
      </x:c>
    </x:row>
    <x:row r="157">
      <x:c r="A157" s="96" t="str">
        <x:v>m11 cummins hp and torque</x:v>
      </x:c>
      <x:c r="B157" s="97" t="n">
        <x:v>0</x:v>
      </x:c>
      <x:c r="C157" s="97" t="n">
        <x:v>14</x:v>
      </x:c>
      <x:c r="D157" s="96" t="str">
        <x:v>Cummins</x:v>
      </x:c>
      <x:c r="E157" s="96" t="str">
        <x:v>Informational</x:v>
      </x:c>
      <x:c r="F157" s="96" t="str">
        <x:v>Low</x:v>
      </x:c>
      <x:c r="G157" s="96" t="str">
        <x:v>Monitor / ignore</x:v>
      </x:c>
      <x:c r="H157" s="96" t="str">
        <x:v>https://keywordseverywhere.com/tools/keyword-gap-analysis/</x:v>
      </x:c>
    </x:row>
    <x:row r="158">
      <x:c r="A158" s="96" t="str">
        <x:v>ism 330 cummins engine</x:v>
      </x:c>
      <x:c r="B158" s="97" t="n">
        <x:v>0</x:v>
      </x:c>
      <x:c r="C158" s="97" t="n">
        <x:v>77</x:v>
      </x:c>
      <x:c r="D158" s="96" t="str">
        <x:v>Cummins</x:v>
      </x:c>
      <x:c r="E158" s="96" t="str">
        <x:v>Informational</x:v>
      </x:c>
      <x:c r="F158" s="96" t="str">
        <x:v>Medium</x:v>
      </x:c>
      <x:c r="G158" s="96" t="str">
        <x:v>Monitor / ignore</x:v>
      </x:c>
      <x:c r="H158" s="96" t="str">
        <x:v>https://keywordseverywhere.com/tools/keyword-gap-analysis/</x:v>
      </x:c>
    </x:row>
    <x:row r="159">
      <x:c r="A159" s="96" t="str">
        <x:v>m11 cummins max hp</x:v>
      </x:c>
      <x:c r="B159" s="97" t="n">
        <x:v>0</x:v>
      </x:c>
      <x:c r="C159" s="97" t="n">
        <x:v>35</x:v>
      </x:c>
      <x:c r="D159" s="96" t="str">
        <x:v>Cummins</x:v>
      </x:c>
      <x:c r="E159" s="96" t="str">
        <x:v>Informational</x:v>
      </x:c>
      <x:c r="F159" s="96" t="str">
        <x:v>Low</x:v>
      </x:c>
      <x:c r="G159" s="96" t="str">
        <x:v>Monitor / ignore</x:v>
      </x:c>
      <x:c r="H159" s="96" t="str">
        <x:v>https://keywordseverywhere.com/tools/keyword-gap-analysis/</x:v>
      </x:c>
    </x:row>
    <x:row r="160">
      <x:c r="A160" s="96" t="str">
        <x:v>m11 cummins specs</x:v>
      </x:c>
      <x:c r="B160" s="97" t="n">
        <x:v>0</x:v>
      </x:c>
      <x:c r="C160" s="97" t="n">
        <x:v>13</x:v>
      </x:c>
      <x:c r="D160" s="96" t="str">
        <x:v>Cummins</x:v>
      </x:c>
      <x:c r="E160" s="96" t="str">
        <x:v>Informational</x:v>
      </x:c>
      <x:c r="F160" s="96" t="str">
        <x:v>Low</x:v>
      </x:c>
      <x:c r="G160" s="96" t="str">
        <x:v>Monitor / ignore</x:v>
      </x:c>
      <x:c r="H160" s="96" t="str">
        <x:v>https://keywordseverywhere.com/tools/keyword-gap-analysis/</x:v>
      </x:c>
    </x:row>
    <x:row r="161">
      <x:c r="A161" s="96" t="str">
        <x:v>m11 engine</x:v>
      </x:c>
      <x:c r="B161" s="97" t="n">
        <x:v>0</x:v>
      </x:c>
      <x:c r="C161" s="97" t="n">
        <x:v>90</x:v>
      </x:c>
      <x:c r="D161" s="96" t="str">
        <x:v>Cummins</x:v>
      </x:c>
      <x:c r="E161" s="96" t="str">
        <x:v>Informational</x:v>
      </x:c>
      <x:c r="F161" s="96" t="str">
        <x:v>Medium</x:v>
      </x:c>
      <x:c r="G161" s="96" t="str">
        <x:v>Monitor / ignore</x:v>
      </x:c>
      <x:c r="H161" s="96" t="str">
        <x:v>https://keywordseverywhere.com/tools/keyword-gap-analysis/</x:v>
      </x:c>
    </x:row>
    <x:row r="162">
      <x:c r="A162" s="96" t="str">
        <x:v>m11 oil capacity</x:v>
      </x:c>
      <x:c r="B162" s="97" t="n">
        <x:v>0</x:v>
      </x:c>
      <x:c r="C162" s="97" t="n">
        <x:v>22</x:v>
      </x:c>
      <x:c r="D162" s="96" t="str">
        <x:v>Cummins</x:v>
      </x:c>
      <x:c r="E162" s="96" t="str">
        <x:v>Informational</x:v>
      </x:c>
      <x:c r="F162" s="96" t="str">
        <x:v>Low</x:v>
      </x:c>
      <x:c r="G162" s="96" t="str">
        <x:v>Monitor / ignore</x:v>
      </x:c>
      <x:c r="H162" s="96" t="str">
        <x:v>https://keywordseverywhere.com/tools/keyword-gap-analysis/</x:v>
      </x:c>
    </x:row>
    <x:row r="163">
      <x:c r="A163" s="96" t="str">
        <x:v>kta19 cummins specs</x:v>
      </x:c>
      <x:c r="B163" s="97" t="n">
        <x:v>0</x:v>
      </x:c>
      <x:c r="C163" s="97" t="n">
        <x:v>62</x:v>
      </x:c>
      <x:c r="D163" s="96" t="str">
        <x:v>Cummins</x:v>
      </x:c>
      <x:c r="E163" s="96" t="str">
        <x:v>Informational</x:v>
      </x:c>
      <x:c r="F163" s="96" t="str">
        <x:v>Low</x:v>
      </x:c>
      <x:c r="G163" s="96" t="str">
        <x:v>Monitor / ignore</x:v>
      </x:c>
      <x:c r="H163" s="96" t="str">
        <x:v>https://keywordseverywhere.com/tools/keyword-gap-analysis/</x:v>
      </x:c>
    </x:row>
    <x:row r="164">
      <x:c r="A164" s="96" t="str">
        <x:v>kta50 cummins</x:v>
      </x:c>
      <x:c r="B164" s="97" t="n">
        <x:v>0</x:v>
      </x:c>
      <x:c r="C164" s="97" t="n">
        <x:v>19</x:v>
      </x:c>
      <x:c r="D164" s="96" t="str">
        <x:v>Cummins</x:v>
      </x:c>
      <x:c r="E164" s="96" t="str">
        <x:v>Informational</x:v>
      </x:c>
      <x:c r="F164" s="96" t="str">
        <x:v>Low</x:v>
      </x:c>
      <x:c r="G164" s="96" t="str">
        <x:v>Monitor / ignore</x:v>
      </x:c>
      <x:c r="H164" s="96" t="str">
        <x:v>https://keywordseverywhere.com/tools/keyword-gap-analysis/</x:v>
      </x:c>
    </x:row>
    <x:row r="165">
      <x:c r="A165" s="96" t="str">
        <x:v>kta50 cummins engine</x:v>
      </x:c>
      <x:c r="B165" s="97" t="n">
        <x:v>0</x:v>
      </x:c>
      <x:c r="C165" s="97" t="n">
        <x:v>23</x:v>
      </x:c>
      <x:c r="D165" s="96" t="str">
        <x:v>Cummins</x:v>
      </x:c>
      <x:c r="E165" s="96" t="str">
        <x:v>Informational</x:v>
      </x:c>
      <x:c r="F165" s="96" t="str">
        <x:v>Medium</x:v>
      </x:c>
      <x:c r="G165" s="96" t="str">
        <x:v>Monitor / ignore</x:v>
      </x:c>
      <x:c r="H165" s="96" t="str">
        <x:v>https://keywordseverywhere.com/tools/keyword-gap-analysis/</x:v>
      </x:c>
    </x:row>
    <x:row r="166">
      <x:c r="A166" s="96" t="str">
        <x:v>k38 cummins</x:v>
      </x:c>
      <x:c r="B166" s="97" t="n">
        <x:v>0</x:v>
      </x:c>
      <x:c r="C166" s="97" t="n">
        <x:v>34</x:v>
      </x:c>
      <x:c r="D166" s="96" t="str">
        <x:v>Cummins</x:v>
      </x:c>
      <x:c r="E166" s="96" t="str">
        <x:v>Informational</x:v>
      </x:c>
      <x:c r="F166" s="96" t="str">
        <x:v>Low</x:v>
      </x:c>
      <x:c r="G166" s="96" t="str">
        <x:v>Monitor / ignore</x:v>
      </x:c>
      <x:c r="H166" s="96" t="str">
        <x:v>https://keywordseverywhere.com/tools/keyword-gap-analysis/</x:v>
      </x:c>
    </x:row>
    <x:row r="167">
      <x:c r="A167" s="96" t="str">
        <x:v>k19 cummins engine</x:v>
      </x:c>
      <x:c r="B167" s="97" t="n">
        <x:v>0</x:v>
      </x:c>
      <x:c r="C167" s="97" t="n">
        <x:v>25</x:v>
      </x:c>
      <x:c r="D167" s="96" t="str">
        <x:v>Cummins</x:v>
      </x:c>
      <x:c r="E167" s="96" t="str">
        <x:v>Informational</x:v>
      </x:c>
      <x:c r="F167" s="96" t="str">
        <x:v>Medium</x:v>
      </x:c>
      <x:c r="G167" s="96" t="str">
        <x:v>Monitor / ignore</x:v>
      </x:c>
      <x:c r="H167" s="96" t="str">
        <x:v>https://keywordseverywhere.com/tools/keyword-gap-analysis/</x:v>
      </x:c>
    </x:row>
    <x:row r="168">
      <x:c r="A168" s="96" t="str">
        <x:v>k19 cummins marine engine</x:v>
      </x:c>
      <x:c r="B168" s="97" t="n">
        <x:v>0</x:v>
      </x:c>
      <x:c r="C168" s="97" t="n">
        <x:v>30</x:v>
      </x:c>
      <x:c r="D168" s="96" t="str">
        <x:v>Cummins</x:v>
      </x:c>
      <x:c r="E168" s="96" t="str">
        <x:v>Informational</x:v>
      </x:c>
      <x:c r="F168" s="96" t="str">
        <x:v>Medium</x:v>
      </x:c>
      <x:c r="G168" s="96" t="str">
        <x:v>Monitor / ignore</x:v>
      </x:c>
      <x:c r="H168" s="96" t="str">
        <x:v>https://keywordseverywhere.com/tools/keyword-gap-analysis/</x:v>
      </x:c>
    </x:row>
    <x:row r="169">
      <x:c r="A169" s="96" t="str">
        <x:v>isb 3.9 cummins</x:v>
      </x:c>
      <x:c r="B169" s="97" t="n">
        <x:v>0</x:v>
      </x:c>
      <x:c r="C169" s="97" t="n">
        <x:v>59</x:v>
      </x:c>
      <x:c r="D169" s="96" t="str">
        <x:v>Cummins</x:v>
      </x:c>
      <x:c r="E169" s="96" t="str">
        <x:v>Informational</x:v>
      </x:c>
      <x:c r="F169" s="96" t="str">
        <x:v>Low</x:v>
      </x:c>
      <x:c r="G169" s="96" t="str">
        <x:v>Monitor / ignore</x:v>
      </x:c>
      <x:c r="H169" s="96" t="str">
        <x:v>https://keywordseverywhere.com/tools/keyword-gap-analysis/</x:v>
      </x:c>
    </x:row>
    <x:row r="170">
      <x:c r="A170" s="96" t="str">
        <x:v>isb 300 cummins</x:v>
      </x:c>
      <x:c r="B170" s="97" t="n">
        <x:v>0</x:v>
      </x:c>
      <x:c r="C170" s="97" t="n">
        <x:v>54</x:v>
      </x:c>
      <x:c r="D170" s="96" t="str">
        <x:v>Cummins</x:v>
      </x:c>
      <x:c r="E170" s="96" t="str">
        <x:v>Informational</x:v>
      </x:c>
      <x:c r="F170" s="96" t="str">
        <x:v>Low</x:v>
      </x:c>
      <x:c r="G170" s="96" t="str">
        <x:v>Monitor / ignore</x:v>
      </x:c>
      <x:c r="H170" s="96" t="str">
        <x:v>https://keywordseverywhere.com/tools/keyword-gap-analysis/</x:v>
      </x:c>
    </x:row>
    <x:row r="171">
      <x:c r="A171" s="96" t="str">
        <x:v>isf 2.8 cummins</x:v>
      </x:c>
      <x:c r="B171" s="97" t="n">
        <x:v>0</x:v>
      </x:c>
      <x:c r="C171" s="97" t="n">
        <x:v>11</x:v>
      </x:c>
      <x:c r="D171" s="96" t="str">
        <x:v>Cummins</x:v>
      </x:c>
      <x:c r="E171" s="96" t="str">
        <x:v>Informational</x:v>
      </x:c>
      <x:c r="F171" s="96" t="str">
        <x:v>Low</x:v>
      </x:c>
      <x:c r="G171" s="96" t="str">
        <x:v>Monitor / ignore</x:v>
      </x:c>
      <x:c r="H171" s="96" t="str">
        <x:v>https://keywordseverywhere.com/tools/keyword-gap-analysis/</x:v>
      </x:c>
    </x:row>
    <x:row r="172">
      <x:c r="A172" s="96" t="str">
        <x:v>qsb 5.9 cummins</x:v>
      </x:c>
      <x:c r="B172" s="97" t="n">
        <x:v>0</x:v>
      </x:c>
      <x:c r="C172" s="97" t="n">
        <x:v>69</x:v>
      </x:c>
      <x:c r="D172" s="96" t="str">
        <x:v>Cummins</x:v>
      </x:c>
      <x:c r="E172" s="96" t="str">
        <x:v>Informational</x:v>
      </x:c>
      <x:c r="F172" s="96" t="str">
        <x:v>Low</x:v>
      </x:c>
      <x:c r="G172" s="96" t="str">
        <x:v>Monitor / ignore</x:v>
      </x:c>
      <x:c r="H172" s="96" t="str">
        <x:v>https://keywordseverywhere.com/tools/keyword-gap-analysis/</x:v>
      </x:c>
    </x:row>
    <x:row r="173">
      <x:c r="A173" s="96" t="str">
        <x:v>mtu detroit diesel</x:v>
      </x:c>
      <x:c r="B173" s="97" t="n">
        <x:v>0</x:v>
      </x:c>
      <x:c r="C173" s="97" t="n">
        <x:v>64</x:v>
      </x:c>
      <x:c r="D173" s="96" t="str">
        <x:v>MTU</x:v>
      </x:c>
      <x:c r="E173" s="96" t="str">
        <x:v>Informational</x:v>
      </x:c>
      <x:c r="F173" s="96" t="str">
        <x:v>High</x:v>
      </x:c>
      <x:c r="G173" s="96" t="str">
        <x:v>Review</x:v>
      </x:c>
      <x:c r="H173" s="96" t="str">
        <x:v>https://keywordseverywhere.com/tools/keyword-gap-analysis/</x:v>
      </x:c>
    </x:row>
    <x:row r="174">
      <x:c r="A174" s="96" t="str">
        <x:v>qsb5.9 cummins engine</x:v>
      </x:c>
      <x:c r="B174" s="97" t="n">
        <x:v>0</x:v>
      </x:c>
      <x:c r="C174" s="97" t="n">
        <x:v>11</x:v>
      </x:c>
      <x:c r="D174" s="96" t="str">
        <x:v>Cummins</x:v>
      </x:c>
      <x:c r="E174" s="96" t="str">
        <x:v>Informational</x:v>
      </x:c>
      <x:c r="F174" s="96" t="str">
        <x:v>Medium</x:v>
      </x:c>
      <x:c r="G174" s="96" t="str">
        <x:v>Monitor / ignore</x:v>
      </x:c>
      <x:c r="H174" s="96" t="str">
        <x:v>https://keywordseverywhere.com/tools/keyword-gap-analysis/</x:v>
      </x:c>
    </x:row>
    <x:row r="175">
      <x:c r="A175" s="96" t="str">
        <x:v>qsf 3.8 cummins</x:v>
      </x:c>
      <x:c r="B175" s="97" t="n">
        <x:v>0</x:v>
      </x:c>
      <x:c r="C175" s="97" t="n">
        <x:v>73</x:v>
      </x:c>
      <x:c r="D175" s="96" t="str">
        <x:v>Cummins</x:v>
      </x:c>
      <x:c r="E175" s="96" t="str">
        <x:v>Informational</x:v>
      </x:c>
      <x:c r="F175" s="96" t="str">
        <x:v>Low</x:v>
      </x:c>
      <x:c r="G175" s="96" t="str">
        <x:v>Monitor / ignore</x:v>
      </x:c>
      <x:c r="H175" s="96" t="str">
        <x:v>https://keywordseverywhere.com/tools/keyword-gap-analysis/</x:v>
      </x:c>
    </x:row>
    <x:row r="176">
      <x:c r="A176" s="96" t="str">
        <x:v>qsk19</x:v>
      </x:c>
      <x:c r="B176" s="97" t="n">
        <x:v>0</x:v>
      </x:c>
      <x:c r="C176" s="97" t="n">
        <x:v>59</x:v>
      </x:c>
      <x:c r="D176" s="96" t="str">
        <x:v>Generic</x:v>
      </x:c>
      <x:c r="E176" s="96" t="str">
        <x:v>Informational</x:v>
      </x:c>
      <x:c r="F176" s="96" t="str">
        <x:v>Low</x:v>
      </x:c>
      <x:c r="G176" s="96" t="str">
        <x:v>Monitor / ignore</x:v>
      </x:c>
      <x:c r="H176" s="96" t="str">
        <x:v>https://keywordseverywhere.com/tools/keyword-gap-analysis/</x:v>
      </x:c>
    </x:row>
    <x:row r="177">
      <x:c r="A177" s="96" t="str">
        <x:v>qsk38 cummins</x:v>
      </x:c>
      <x:c r="B177" s="97" t="n">
        <x:v>0</x:v>
      </x:c>
      <x:c r="C177" s="97" t="n">
        <x:v>26</x:v>
      </x:c>
      <x:c r="D177" s="96" t="str">
        <x:v>Cummins</x:v>
      </x:c>
      <x:c r="E177" s="96" t="str">
        <x:v>Informational</x:v>
      </x:c>
      <x:c r="F177" s="96" t="str">
        <x:v>Low</x:v>
      </x:c>
      <x:c r="G177" s="96" t="str">
        <x:v>Monitor / ignore</x:v>
      </x:c>
      <x:c r="H177" s="96" t="str">
        <x:v>https://keywordseverywhere.com/tools/keyword-gap-analysis/</x:v>
      </x:c>
    </x:row>
    <x:row r="178">
      <x:c r="A178" s="96" t="str">
        <x:v>pipe mat</x:v>
      </x:c>
      <x:c r="B178" s="97" t="n">
        <x:v>0</x:v>
      </x:c>
      <x:c r="C178" s="97" t="n">
        <x:v>82</x:v>
      </x:c>
      <x:c r="D178" s="96" t="str">
        <x:v>Generic</x:v>
      </x:c>
      <x:c r="E178" s="96" t="str">
        <x:v>Informational</x:v>
      </x:c>
      <x:c r="F178" s="96" t="str">
        <x:v>Low</x:v>
      </x:c>
      <x:c r="G178" s="96" t="str">
        <x:v>Monitor / ignore</x:v>
      </x:c>
      <x:c r="H178" s="96" t="str">
        <x:v>https://keywordseverywhere.com/tools/keyword-gap-analysis/</x:v>
      </x:c>
    </x:row>
    <x:row r="179">
      <x:c r="A179" s="96" t="str">
        <x:v>parts cummins com homepage</x:v>
      </x:c>
      <x:c r="B179" s="97" t="n">
        <x:v>0</x:v>
      </x:c>
      <x:c r="C179" s="97" t="n">
        <x:v>62</x:v>
      </x:c>
      <x:c r="D179" s="96" t="str">
        <x:v>Cummins</x:v>
      </x:c>
      <x:c r="E179" s="96" t="str">
        <x:v>Commercial</x:v>
      </x:c>
      <x:c r="F179" s="96" t="str">
        <x:v>High</x:v>
      </x:c>
      <x:c r="G179" s="96" t="str">
        <x:v>Review</x:v>
      </x:c>
      <x:c r="H179" s="96" t="str">
        <x:v>https://keywordseverywhere.com/tools/keyword-gap-analysis/</x:v>
      </x:c>
    </x:row>
    <x:row r="180">
      <x:c r="A180" s="96" t="str">
        <x:v>oil spray nozzle</x:v>
      </x:c>
      <x:c r="B180" s="97" t="n">
        <x:v>0</x:v>
      </x:c>
      <x:c r="C180" s="97" t="n">
        <x:v>53</x:v>
      </x:c>
      <x:c r="D180" s="96" t="str">
        <x:v>Generic</x:v>
      </x:c>
      <x:c r="E180" s="96" t="str">
        <x:v>Informational</x:v>
      </x:c>
      <x:c r="F180" s="96" t="str">
        <x:v>Low</x:v>
      </x:c>
      <x:c r="G180" s="96" t="str">
        <x:v>Monitor / ignore</x:v>
      </x:c>
      <x:c r="H180" s="96" t="str">
        <x:v>https://keywordseverywhere.com/tools/keyword-gap-analysis/</x:v>
      </x:c>
    </x:row>
    <x:row r="181">
      <x:c r="A181" s="96" t="str">
        <x:v>nta 855</x:v>
      </x:c>
      <x:c r="B181" s="97" t="n">
        <x:v>0</x:v>
      </x:c>
      <x:c r="C181" s="97" t="n">
        <x:v>18</x:v>
      </x:c>
      <x:c r="D181" s="96" t="str">
        <x:v>Generic</x:v>
      </x:c>
      <x:c r="E181" s="96" t="str">
        <x:v>Informational</x:v>
      </x:c>
      <x:c r="F181" s="96" t="str">
        <x:v>Low</x:v>
      </x:c>
      <x:c r="G181" s="96" t="str">
        <x:v>Monitor / ignore</x:v>
      </x:c>
      <x:c r="H181" s="96" t="str">
        <x:v>https://keywordseverywhere.com/tools/keyword-gap-analysis/</x:v>
      </x:c>
    </x:row>
    <x:row r="182">
      <x:c r="A182" s="96" t="str">
        <x:v>nta855</x:v>
      </x:c>
      <x:c r="B182" s="97" t="n">
        <x:v>0</x:v>
      </x:c>
      <x:c r="C182" s="97" t="n">
        <x:v>9</x:v>
      </x:c>
      <x:c r="D182" s="96" t="str">
        <x:v>Generic</x:v>
      </x:c>
      <x:c r="E182" s="96" t="str">
        <x:v>Informational</x:v>
      </x:c>
      <x:c r="F182" s="96" t="str">
        <x:v>Low</x:v>
      </x:c>
      <x:c r="G182" s="96" t="str">
        <x:v>Monitor / ignore</x:v>
      </x:c>
      <x:c r="H182" s="96" t="str">
        <x:v>https://keywordseverywhere.com/tools/keyword-gap-analysis/</x:v>
      </x:c>
    </x:row>
    <x:row r="183">
      <x:c r="A183" s="96" t="str">
        <x:v>oem cummins parts</x:v>
      </x:c>
      <x:c r="B183" s="97" t="n">
        <x:v>0</x:v>
      </x:c>
      <x:c r="C183" s="97" t="n">
        <x:v>28</x:v>
      </x:c>
      <x:c r="D183" s="96" t="str">
        <x:v>Cummins</x:v>
      </x:c>
      <x:c r="E183" s="96" t="str">
        <x:v>Commercial</x:v>
      </x:c>
      <x:c r="F183" s="96" t="str">
        <x:v>High</x:v>
      </x:c>
      <x:c r="G183" s="96" t="str">
        <x:v>Review</x:v>
      </x:c>
      <x:c r="H183" s="96" t="str">
        <x:v>https://keywordseverywhere.com/tools/keyword-gap-analysis/</x:v>
      </x:c>
    </x:row>
    <x:row r="184">
      <x:c r="A184" s="96" t="str">
        <x:v>912 deutz engine</x:v>
      </x:c>
      <x:c r="B184" s="97" t="n">
        <x:v>0</x:v>
      </x:c>
      <x:c r="C184" s="97" t="n">
        <x:v>56</x:v>
      </x:c>
      <x:c r="D184" s="96" t="str">
        <x:v>Deutz</x:v>
      </x:c>
      <x:c r="E184" s="96" t="str">
        <x:v>Informational</x:v>
      </x:c>
      <x:c r="F184" s="96" t="str">
        <x:v>Medium</x:v>
      </x:c>
      <x:c r="G184" s="96" t="str">
        <x:v>Monitor / ignore</x:v>
      </x:c>
      <x:c r="H184" s="96" t="str">
        <x:v>https://keywordseverywhere.com/tools/keyword-gap-analysis/</x:v>
      </x:c>
    </x:row>
    <x:row r="185">
      <x:c r="A185" s="96" t="str">
        <x:v>mtu 2000</x:v>
      </x:c>
      <x:c r="B185" s="97" t="n">
        <x:v>0</x:v>
      </x:c>
      <x:c r="C185" s="97" t="n">
        <x:v>28</x:v>
      </x:c>
      <x:c r="D185" s="96" t="str">
        <x:v>MTU</x:v>
      </x:c>
      <x:c r="E185" s="96" t="str">
        <x:v>Informational</x:v>
      </x:c>
      <x:c r="F185" s="96" t="str">
        <x:v>High</x:v>
      </x:c>
      <x:c r="G185" s="96" t="str">
        <x:v>Review</x:v>
      </x:c>
      <x:c r="H185" s="96" t="str">
        <x:v>https://keywordseverywhere.com/tools/keyword-gap-analysis/</x:v>
      </x:c>
    </x:row>
    <x:row r="186">
      <x:c r="A186" s="96" t="str">
        <x:v>mtu 8000</x:v>
      </x:c>
      <x:c r="B186" s="97" t="n">
        <x:v>0</x:v>
      </x:c>
      <x:c r="C186" s="97" t="n">
        <x:v>28</x:v>
      </x:c>
      <x:c r="D186" s="96" t="str">
        <x:v>MTU</x:v>
      </x:c>
      <x:c r="E186" s="96" t="str">
        <x:v>Informational</x:v>
      </x:c>
      <x:c r="F186" s="96" t="str">
        <x:v>High</x:v>
      </x:c>
      <x:c r="G186" s="96" t="str">
        <x:v>Review</x:v>
      </x:c>
      <x:c r="H186" s="96" t="str">
        <x:v>https://keywordseverywhere.com/tools/keyword-gap-analysis/</x:v>
      </x:c>
    </x:row>
    <x:row r="187">
      <x:c r="A187" s="96" t="str">
        <x:v>mtu boat engines</x:v>
      </x:c>
      <x:c r="B187" s="97" t="n">
        <x:v>0</x:v>
      </x:c>
      <x:c r="C187" s="97" t="n">
        <x:v>54</x:v>
      </x:c>
      <x:c r="D187" s="96" t="str">
        <x:v>MTU</x:v>
      </x:c>
      <x:c r="E187" s="96" t="str">
        <x:v>Informational</x:v>
      </x:c>
      <x:c r="F187" s="96" t="str">
        <x:v>High</x:v>
      </x:c>
      <x:c r="G187" s="96" t="str">
        <x:v>Review</x:v>
      </x:c>
      <x:c r="H187" s="96" t="str">
        <x:v>https://keywordseverywhere.com/tools/keyword-gap-analysis/</x:v>
      </x:c>
    </x:row>
    <x:row r="188">
      <x:c r="A188" s="99" t="str">
        <x:v>cummins 2.8 specs</x:v>
      </x:c>
      <x:c r="B188" s="100" t="n">
        <x:v>0</x:v>
      </x:c>
      <x:c r="C188" s="100" t="n">
        <x:v>73</x:v>
      </x:c>
      <x:c r="D188" s="99" t="str">
        <x:v>Cummins</x:v>
      </x:c>
      <x:c r="E188" s="99" t="str">
        <x:v>Informational</x:v>
      </x:c>
      <x:c r="F188" s="99" t="str">
        <x:v>Low</x:v>
      </x:c>
      <x:c r="G188" s="99" t="str">
        <x:v>Monitor / ignore</x:v>
      </x:c>
      <x:c r="H188" s="99" t="str">
        <x:v>https://keywordseverywhere.com/tools/keyword-gap-analysis/</x:v>
      </x:c>
    </x:row>
  </x:sheetData>
  <x:mergeCells>
    <x:mergeCell ref="A1:H2"/>
    <x:mergeCell ref="A3:H3"/>
  </x:mergeCells>
  <x:conditionalFormatting sqref="F5:F188">
    <x:cfRule type="containsText" dxfId="5" priority="1" operator="containsText" text="High"/>
    <x:cfRule type="containsText" dxfId="6" priority="2" operator="containsText" text="Medium"/>
  </x:conditionalFormatting>
  <x:pageMargins left="0.7" right="0.7" top="0.75" bottom="0.75" header="0.3" footer="0.3"/>
  <x:tableParts count="1">
    <x:tablePart xmlns:r="http://schemas.openxmlformats.org/officeDocument/2006/relationships" r:id="R3afe695dc78b4a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14" hidden="0" customWidth="1"/>
    <x:col min="4" max="4" width="48" hidden="0" customWidth="1"/>
    <x:col min="5" max="5" width="58" hidden="0" customWidth="1"/>
  </x:cols>
  <x:sheetData>
    <x:row r="1">
      <x:c r="A1" s="112" t="str">
        <x:v>KE Extension Keyword Ideas</x:v>
      </x:c>
      <x:c r="B1" s="112"/>
      <x:c r="C1" s="112"/>
      <x:c r="D1" s="112"/>
      <x:c r="E1" s="112"/>
    </x:row>
    <x:row r="2">
      <x:c r="A2" s="112"/>
      <x:c r="B2" s="112"/>
      <x:c r="C2" s="112"/>
      <x:c r="D2" s="112"/>
      <x:c r="E2" s="112"/>
    </x:row>
    <x:row r="3">
      <x:c r="A3" s="113" t="str">
        <x:v>These ideas came from Google Related and Long-Tail widgets. Their volume uses the KE extension account-default market and may differ from the US-only batch values.</x:v>
      </x:c>
      <x:c r="B3" s="113"/>
      <x:c r="C3" s="113"/>
      <x:c r="D3" s="113"/>
      <x:c r="E3" s="113"/>
    </x:row>
    <x:row r="4">
      <x:c r="A4" s="92" t="str">
        <x:v>Idea Type</x:v>
      </x:c>
      <x:c r="B4" s="92" t="str">
        <x:v>Keyword</x:v>
      </x:c>
      <x:c r="C4" s="92" t="str">
        <x:v>KE Volume</x:v>
      </x:c>
      <x:c r="D4" s="92" t="str">
        <x:v>Source URL</x:v>
      </x:c>
      <x:c r="E4" s="92" t="str">
        <x:v>Notes</x:v>
      </x:c>
    </x:row>
    <x:row r="5">
      <x:c r="A5" s="93" t="str">
        <x:v>Related Keywords</x:v>
      </x:c>
      <x:c r="B5" s="93" t="str">
        <x:v>mtu engine parts</x:v>
      </x:c>
      <x:c r="C5" s="94" t="n">
        <x:v>170</x:v>
      </x:c>
      <x:c r="D5" s="93" t="str">
        <x:v>https://www.google.com/search?q=mtu+engine+parts&amp;gl=us&amp;hl=en</x:v>
      </x:c>
      <x:c r="E5" s="93" t="str">
        <x:v>Volume uses the KE extension account-default market; US batch volume is authoritative in Keyword Plan.</x:v>
      </x:c>
    </x:row>
    <x:row r="6">
      <x:c r="A6" s="96" t="str">
        <x:v>Related Keywords</x:v>
      </x:c>
      <x:c r="B6" s="96" t="str">
        <x:v>mtu spare parts catalog pdf</x:v>
      </x:c>
      <x:c r="C6" s="97" t="n">
        <x:v>70</x:v>
      </x:c>
      <x:c r="D6" s="96" t="str">
        <x:v>https://www.google.com/search?q=mtu+engine+parts&amp;gl=us&amp;hl=en</x:v>
      </x:c>
      <x:c r="E6" s="96" t="str">
        <x:v>Volume uses the KE extension account-default market; US batch volume is authoritative in Keyword Plan.</x:v>
      </x:c>
    </x:row>
    <x:row r="7">
      <x:c r="A7" s="96" t="str">
        <x:v>Related Keywords</x:v>
      </x:c>
      <x:c r="B7" s="96" t="str">
        <x:v>mtu parts distributors</x:v>
      </x:c>
      <x:c r="C7" s="97" t="n">
        <x:v>30</x:v>
      </x:c>
      <x:c r="D7" s="96" t="str">
        <x:v>https://www.google.com/search?q=mtu+engine+parts&amp;gl=us&amp;hl=en</x:v>
      </x:c>
      <x:c r="E7" s="96" t="str">
        <x:v>Volume uses the KE extension account-default market; US batch volume is authoritative in Keyword Plan.</x:v>
      </x:c>
    </x:row>
    <x:row r="8">
      <x:c r="A8" s="96" t="str">
        <x:v>Related Keywords; Long-Tail Keywords</x:v>
      </x:c>
      <x:c r="B8" s="96" t="str">
        <x:v>mtu engine parts catalog</x:v>
      </x:c>
      <x:c r="C8" s="97" t="n">
        <x:v>10</x:v>
      </x:c>
      <x:c r="D8" s="96" t="str">
        <x:v>https://www.google.com/search?q=mtu+engine+parts&amp;gl=us&amp;hl=en</x:v>
      </x:c>
      <x:c r="E8" s="96" t="str">
        <x:v>Volume uses the KE extension account-default market; US batch volume is authoritative in Keyword Plan.</x:v>
      </x:c>
    </x:row>
    <x:row r="9">
      <x:c r="A9" s="96" t="str">
        <x:v>Related Keywords</x:v>
      </x:c>
      <x:c r="B9" s="96" t="str">
        <x:v>mtu engine parts online</x:v>
      </x:c>
      <x:c r="C9" s="97" t="n">
        <x:v>0</x:v>
      </x:c>
      <x:c r="D9" s="96" t="str">
        <x:v>https://www.google.com/search?q=mtu+engine+parts&amp;gl=us&amp;hl=en</x:v>
      </x:c>
      <x:c r="E9" s="96" t="str">
        <x:v>Volume uses the KE extension account-default market; US batch volume is authoritative in Keyword Plan.</x:v>
      </x:c>
    </x:row>
    <x:row r="10">
      <x:c r="A10" s="96" t="str">
        <x:v>Related Keywords; Long-Tail Keywords</x:v>
      </x:c>
      <x:c r="B10" s="96" t="str">
        <x:v>mtu engine parts near me</x:v>
      </x:c>
      <x:c r="C10" s="97" t="n">
        <x:v>0</x:v>
      </x:c>
      <x:c r="D10" s="96" t="str">
        <x:v>https://www.google.com/search?q=mtu+engine+parts&amp;gl=us&amp;hl=en</x:v>
      </x:c>
      <x:c r="E10" s="96" t="str">
        <x:v>Volume uses the KE extension account-default market; US batch volume is authoritative in Keyword Plan.</x:v>
      </x:c>
    </x:row>
    <x:row r="11">
      <x:c r="A11" s="96" t="str">
        <x:v>Related Keywords</x:v>
      </x:c>
      <x:c r="B11" s="96" t="str">
        <x:v>mtu engine parts list</x:v>
      </x:c>
      <x:c r="C11" s="97" t="n">
        <x:v>0</x:v>
      </x:c>
      <x:c r="D11" s="96" t="str">
        <x:v>https://www.google.com/search?q=mtu+engine+parts&amp;gl=us&amp;hl=en</x:v>
      </x:c>
      <x:c r="E11" s="96" t="str">
        <x:v>Volume uses the KE extension account-default market; US batch volume is authoritative in Keyword Plan.</x:v>
      </x:c>
    </x:row>
    <x:row r="12">
      <x:c r="A12" s="96" t="str">
        <x:v>Related Keywords</x:v>
      </x:c>
      <x:c r="B12" s="96" t="str">
        <x:v>mtu engine parts catalog pdf</x:v>
      </x:c>
      <x:c r="C12" s="97" t="n">
        <x:v>0</x:v>
      </x:c>
      <x:c r="D12" s="96" t="str">
        <x:v>https://www.google.com/search?q=mtu+engine+parts&amp;gl=us&amp;hl=en</x:v>
      </x:c>
      <x:c r="E12" s="96" t="str">
        <x:v>Volume uses the KE extension account-default market; US batch volume is authoritative in Keyword Plan.</x:v>
      </x:c>
    </x:row>
    <x:row r="13">
      <x:c r="A13" s="96" t="str">
        <x:v>Related Keywords</x:v>
      </x:c>
      <x:c r="B13" s="96" t="str">
        <x:v>mtu parts lookup</x:v>
      </x:c>
      <x:c r="C13" s="97" t="n">
        <x:v>0</x:v>
      </x:c>
      <x:c r="D13" s="96" t="str">
        <x:v>https://www.google.com/search?q=mtu+engine+parts&amp;gl=us&amp;hl=en</x:v>
      </x:c>
      <x:c r="E13" s="96" t="str">
        <x:v>Volume uses the KE extension account-default market; US batch volume is authoritative in Keyword Plan.</x:v>
      </x:c>
    </x:row>
    <x:row r="14">
      <x:c r="A14" s="96" t="str">
        <x:v>Long-Tail Keywords</x:v>
      </x:c>
      <x:c r="B14" s="96" t="str">
        <x:v>mtu engine spare parts</x:v>
      </x:c>
      <x:c r="C14" s="97" t="n">
        <x:v>20</x:v>
      </x:c>
      <x:c r="D14" s="96" t="str">
        <x:v>https://www.google.com/search?q=mtu+engine+parts&amp;gl=us&amp;hl=en</x:v>
      </x:c>
      <x:c r="E14" s="96" t="str">
        <x:v>Volume uses the KE extension account-default market; US batch volume is authoritative in Keyword Plan.</x:v>
      </x:c>
    </x:row>
    <x:row r="15">
      <x:c r="A15" s="96" t="str">
        <x:v>Long-Tail Keywords</x:v>
      </x:c>
      <x:c r="B15" s="96" t="str">
        <x:v>mtu diesel engine parts</x:v>
      </x:c>
      <x:c r="C15" s="97" t="n">
        <x:v>20</x:v>
      </x:c>
      <x:c r="D15" s="96" t="str">
        <x:v>https://www.google.com/search?q=mtu+engine+parts&amp;gl=us&amp;hl=en</x:v>
      </x:c>
      <x:c r="E15" s="96" t="str">
        <x:v>Volume uses the KE extension account-default market; US batch volume is authoritative in Keyword Plan.</x:v>
      </x:c>
    </x:row>
    <x:row r="16">
      <x:c r="A16" s="96" t="str">
        <x:v>Long-Tail Keywords</x:v>
      </x:c>
      <x:c r="B16" s="96" t="str">
        <x:v>mtu engine parts supplier</x:v>
      </x:c>
      <x:c r="C16" s="97" t="n">
        <x:v>10</x:v>
      </x:c>
      <x:c r="D16" s="96" t="str">
        <x:v>https://www.google.com/search?q=mtu+engine+parts&amp;gl=us&amp;hl=en</x:v>
      </x:c>
      <x:c r="E16" s="96" t="str">
        <x:v>Volume uses the KE extension account-default market; US batch volume is authoritative in Keyword Plan.</x:v>
      </x:c>
    </x:row>
    <x:row r="17">
      <x:c r="A17" s="96" t="str">
        <x:v>Long-Tail Keywords</x:v>
      </x:c>
      <x:c r="B17" s="96" t="str">
        <x:v>mtu marine engine parts</x:v>
      </x:c>
      <x:c r="C17" s="97" t="n">
        <x:v>10</x:v>
      </x:c>
      <x:c r="D17" s="96" t="str">
        <x:v>https://www.google.com/search?q=mtu+engine+parts&amp;gl=us&amp;hl=en</x:v>
      </x:c>
      <x:c r="E17" s="96" t="str">
        <x:v>Volume uses the KE extension account-default market; US batch volume is authoritative in Keyword Plan.</x:v>
      </x:c>
    </x:row>
    <x:row r="18">
      <x:c r="A18" s="96" t="str">
        <x:v>Long-Tail Keywords</x:v>
      </x:c>
      <x:c r="B18" s="96" t="str">
        <x:v>mtu engine parts dealers in dubai</x:v>
      </x:c>
      <x:c r="C18" s="97" t="n">
        <x:v>0</x:v>
      </x:c>
      <x:c r="D18" s="96" t="str">
        <x:v>https://www.google.com/search?q=mtu+engine+parts&amp;gl=us&amp;hl=en</x:v>
      </x:c>
      <x:c r="E18" s="96" t="str">
        <x:v>Volume uses the KE extension account-default market; US batch volume is authoritative in Keyword Plan.</x:v>
      </x:c>
    </x:row>
    <x:row r="19">
      <x:c r="A19" s="96" t="str">
        <x:v>Long-Tail Keywords</x:v>
      </x:c>
      <x:c r="B19" s="96" t="str">
        <x:v>mtu engine parts diagram</x:v>
      </x:c>
      <x:c r="C19" s="97" t="n">
        <x:v>0</x:v>
      </x:c>
      <x:c r="D19" s="96" t="str">
        <x:v>https://www.google.com/search?q=mtu+engine+parts&amp;gl=us&amp;hl=en</x:v>
      </x:c>
      <x:c r="E19" s="96" t="str">
        <x:v>Volume uses the KE extension account-default market; US batch volume is authoritative in Keyword Plan.</x:v>
      </x:c>
    </x:row>
    <x:row r="20">
      <x:c r="A20" s="96" t="str">
        <x:v>Long-Tail Keywords</x:v>
      </x:c>
      <x:c r="B20" s="96" t="str">
        <x:v>mtu engine spare parts supplier</x:v>
      </x:c>
      <x:c r="C20" s="97" t="n">
        <x:v>0</x:v>
      </x:c>
      <x:c r="D20" s="96" t="str">
        <x:v>https://www.google.com/search?q=mtu+engine+parts&amp;gl=us&amp;hl=en</x:v>
      </x:c>
      <x:c r="E20" s="96" t="str">
        <x:v>Volume uses the KE extension account-default market; US batch volume is authoritative in Keyword Plan.</x:v>
      </x:c>
    </x:row>
    <x:row r="21">
      <x:c r="A21" s="99" t="str">
        <x:v>Long-Tail Keywords</x:v>
      </x:c>
      <x:c r="B21" s="99" t="str">
        <x:v>mtu marine engine spare parts</x:v>
      </x:c>
      <x:c r="C21" s="100" t="n">
        <x:v>0</x:v>
      </x:c>
      <x:c r="D21" s="99" t="str">
        <x:v>https://www.google.com/search?q=mtu+engine+parts&amp;gl=us&amp;hl=en</x:v>
      </x:c>
      <x:c r="E21" s="99" t="str">
        <x:v>Volume uses the KE extension account-default market; US batch volume is authoritative in Keyword Plan.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628131707a294b11"/>
  </x:tableParts>
</x:worksheet>
</file>